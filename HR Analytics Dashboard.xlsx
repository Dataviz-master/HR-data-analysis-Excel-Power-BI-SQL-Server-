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DDC\Downloads\"/>
    </mc:Choice>
  </mc:AlternateContent>
  <xr:revisionPtr revIDLastSave="0" documentId="13_ncr:1_{141E6768-667F-4953-9065-5289C8BB2A88}" xr6:coauthVersionLast="36" xr6:coauthVersionMax="36" xr10:uidLastSave="{00000000-0000-0000-0000-000000000000}"/>
  <bookViews>
    <workbookView xWindow="0" yWindow="0" windowWidth="20490" windowHeight="7545" firstSheet="5" activeTab="9" xr2:uid="{00000000-000D-0000-FFFF-FFFF00000000}"/>
  </bookViews>
  <sheets>
    <sheet name="KPI" sheetId="7" r:id="rId1"/>
    <sheet name="Rating" sheetId="8" r:id="rId2"/>
    <sheet name="Gender" sheetId="9" r:id="rId3"/>
    <sheet name="Education by Attrition" sheetId="10" r:id="rId4"/>
    <sheet name="Attrition by Job" sheetId="11" r:id="rId5"/>
    <sheet name="Dept wise Attrition" sheetId="12" r:id="rId6"/>
    <sheet name="Attrition by Age group" sheetId="13" r:id="rId7"/>
    <sheet name="Marital Status" sheetId="14" r:id="rId8"/>
    <sheet name="Data" sheetId="1" r:id="rId9"/>
    <sheet name="Dashboard" sheetId="4" r:id="rId10"/>
    <sheet name="Images" sheetId="2" r:id="rId11"/>
    <sheet name="Background 1" sheetId="3" r:id="rId12"/>
    <sheet name="Background 3" sheetId="5" r:id="rId13"/>
    <sheet name="Background 4" sheetId="6" r:id="rId14"/>
  </sheets>
  <definedNames>
    <definedName name="_xlchart.v1.0" hidden="1">'Attrition by Job'!$D$4:$D$12</definedName>
    <definedName name="_xlchart.v1.1" hidden="1">'Attrition by Job'!$E$4:$E$12</definedName>
    <definedName name="_xlchart.v1.8" hidden="1">'Attrition by Job'!$D$4:$D$12</definedName>
    <definedName name="_xlchart.v1.9" hidden="1">'Attrition by Job'!$E$4:$E$12</definedName>
    <definedName name="_xlchart.v2.2" hidden="1">'Marital Status'!$D$4:$D$6</definedName>
    <definedName name="_xlchart.v2.3" hidden="1">'Marital Status'!$E$4:$E$6</definedName>
    <definedName name="_xlchart.v2.4" hidden="1">'Marital Status'!$F$4:$F$6</definedName>
    <definedName name="_xlchart.v2.5" hidden="1">'Marital Status'!$D$4:$D$6</definedName>
    <definedName name="_xlchart.v2.6" hidden="1">'Marital Status'!$E$4:$E$6</definedName>
    <definedName name="_xlchart.v2.7" hidden="1">'Marital Status'!$F$4:$F$6</definedName>
    <definedName name="Slicer_Department">#N/A</definedName>
    <definedName name="Slicer_Education_Field">#N/A</definedName>
    <definedName name="Slicer_Education_Field1">#N/A</definedName>
    <definedName name="Slicer_Gender2">#N/A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uri="GoogleSheetsCustomDataVersion2">
      <go:sheetsCustomData xmlns:go="http://customooxmlschemas.google.com/" r:id="rId20" roundtripDataChecksum="0W7NtiAel2xy0cZdwUBcRsMoEuXg6pzXui43o1bypBA="/>
    </ext>
  </extLst>
</workbook>
</file>

<file path=xl/calcChain.xml><?xml version="1.0" encoding="utf-8"?>
<calcChain xmlns="http://schemas.openxmlformats.org/spreadsheetml/2006/main">
  <c r="D4" i="14" l="1"/>
  <c r="D6" i="14"/>
  <c r="D5" i="14"/>
  <c r="E4" i="14"/>
  <c r="E6" i="14"/>
  <c r="E5" i="14"/>
  <c r="D5" i="11" l="1"/>
  <c r="D6" i="11"/>
  <c r="D7" i="11"/>
  <c r="D8" i="11"/>
  <c r="D9" i="11"/>
  <c r="D10" i="11"/>
  <c r="D11" i="11"/>
  <c r="D12" i="11"/>
  <c r="D4" i="11"/>
  <c r="E7" i="11"/>
  <c r="E12" i="11"/>
  <c r="E6" i="11"/>
  <c r="B10" i="9"/>
  <c r="B6" i="8"/>
  <c r="E9" i="11"/>
  <c r="E5" i="11"/>
  <c r="A8" i="7"/>
  <c r="E10" i="11"/>
  <c r="E4" i="11"/>
  <c r="B9" i="9"/>
  <c r="C8" i="7"/>
  <c r="B8" i="7"/>
  <c r="E8" i="11"/>
  <c r="E11" i="11"/>
  <c r="C6" i="8" l="1"/>
  <c r="B7" i="8"/>
  <c r="C7" i="8" s="1"/>
  <c r="C10" i="9"/>
  <c r="D8" i="7"/>
  <c r="C9" i="9"/>
  <c r="E8" i="7"/>
</calcChain>
</file>

<file path=xl/sharedStrings.xml><?xml version="1.0" encoding="utf-8"?>
<sst xmlns="http://schemas.openxmlformats.org/spreadsheetml/2006/main" count="19216" uniqueCount="1569">
  <si>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</si>
  <si>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</si>
  <si>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</si>
  <si>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</si>
  <si>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</si>
  <si>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</si>
  <si>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</si>
  <si>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</si>
  <si>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</si>
  <si>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</si>
  <si>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</si>
  <si>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</si>
  <si>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</si>
  <si>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</si>
  <si>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</si>
  <si>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</si>
  <si>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</si>
  <si>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</si>
  <si>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</si>
  <si>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</si>
  <si>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</si>
  <si>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</si>
  <si>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</si>
  <si>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</si>
  <si>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</si>
  <si>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</si>
  <si>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</si>
  <si>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</si>
  <si>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</si>
  <si>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</si>
  <si>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</si>
  <si>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</si>
  <si>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</si>
  <si>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</si>
  <si>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</si>
  <si>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</si>
  <si>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</si>
  <si>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</si>
  <si>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</si>
  <si>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</si>
  <si>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</si>
  <si>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</si>
  <si>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</si>
  <si>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</si>
  <si>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</si>
  <si>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</si>
  <si>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</si>
  <si>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</si>
  <si>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</si>
  <si>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</si>
  <si>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</si>
  <si>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</si>
  <si>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</si>
  <si>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</si>
  <si>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</si>
  <si>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</si>
  <si>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</si>
  <si>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</si>
  <si>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</si>
  <si>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</si>
  <si>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</si>
  <si>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</si>
  <si>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</si>
  <si>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</si>
  <si>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</si>
  <si>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</si>
  <si>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</si>
  <si>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</si>
  <si>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</si>
  <si>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</si>
  <si>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</si>
  <si>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</si>
  <si>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</si>
  <si>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</si>
  <si>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</si>
  <si>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</si>
  <si>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</si>
  <si>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</si>
  <si>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</si>
  <si>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</si>
  <si>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</si>
  <si>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</si>
  <si>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</si>
  <si>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</si>
  <si>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</si>
  <si>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</si>
  <si>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</si>
  <si>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</si>
  <si>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</si>
  <si>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</si>
  <si>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</si>
  <si>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</si>
  <si>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</si>
  <si>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</si>
  <si>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</si>
  <si>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</si>
  <si>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</si>
  <si>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</si>
  <si>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</si>
  <si>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</si>
  <si>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</si>
  <si>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</si>
  <si>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</si>
  <si>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</si>
  <si>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</si>
  <si>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</si>
  <si>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</si>
  <si>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</si>
  <si>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</si>
  <si>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</si>
  <si>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</si>
  <si>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</si>
  <si>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</si>
  <si>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</si>
  <si>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</si>
  <si>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</si>
  <si>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</si>
  <si>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</si>
  <si>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</si>
  <si>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</si>
  <si>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</si>
  <si>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</si>
  <si>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</si>
  <si>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</si>
  <si>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</si>
  <si>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</si>
  <si>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</si>
  <si>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</si>
  <si>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</si>
  <si>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</si>
  <si>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</si>
  <si>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</si>
  <si>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</si>
  <si>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</si>
  <si>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</si>
  <si>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</si>
  <si>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</si>
  <si>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</si>
  <si>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</si>
  <si>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</si>
  <si>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</si>
  <si>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</si>
  <si>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</si>
  <si>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</si>
  <si>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</si>
  <si>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</si>
  <si>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</si>
  <si>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</si>
  <si>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</si>
  <si>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</si>
  <si>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</si>
  <si>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</si>
  <si>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</si>
  <si>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</si>
  <si>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</si>
  <si>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</si>
  <si>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</si>
  <si>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</si>
  <si>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</si>
  <si>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</si>
  <si>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</si>
  <si>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</si>
  <si>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</si>
  <si>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</si>
  <si>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</si>
  <si>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</si>
  <si>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</si>
  <si>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</si>
  <si>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</si>
  <si>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</si>
  <si>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</si>
  <si>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</si>
  <si>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</si>
  <si>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</si>
  <si>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</si>
  <si>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</si>
  <si>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</si>
  <si>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</si>
  <si>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</si>
  <si>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</si>
  <si>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</si>
  <si>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</si>
  <si>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</si>
  <si>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</si>
  <si>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</si>
  <si>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</si>
  <si>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</si>
  <si>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</si>
  <si>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</si>
  <si>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</si>
  <si>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</si>
  <si>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</si>
  <si>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</si>
  <si>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</si>
  <si>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</si>
  <si>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</si>
  <si>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</si>
  <si>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</si>
  <si>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</si>
  <si>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</si>
  <si>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</si>
  <si>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</si>
  <si>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</si>
  <si>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</si>
  <si>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</si>
  <si>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</si>
  <si>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</si>
  <si>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</si>
  <si>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</si>
  <si>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</si>
  <si>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</si>
  <si>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</si>
  <si>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</si>
  <si>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</si>
  <si>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</si>
  <si>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</si>
  <si>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</si>
  <si>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</si>
  <si>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</si>
  <si>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</si>
  <si>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</si>
  <si>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</si>
  <si>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</si>
  <si>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</si>
  <si>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</si>
  <si>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</si>
  <si>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</si>
  <si>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</si>
  <si>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</si>
  <si>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</si>
  <si>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</si>
  <si>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</si>
  <si>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</si>
  <si>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</si>
  <si>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</si>
  <si>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</si>
  <si>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</si>
  <si>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</si>
  <si>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</si>
  <si>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</si>
  <si>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</si>
  <si>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</si>
  <si>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</si>
  <si>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</si>
  <si>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</si>
  <si>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</si>
  <si>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</si>
  <si>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</si>
  <si>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</si>
  <si>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</si>
  <si>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</si>
  <si>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</si>
  <si>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</si>
  <si>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</si>
  <si>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</si>
  <si>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</si>
  <si>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</si>
  <si>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</si>
  <si>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</si>
  <si>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</si>
  <si>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</si>
  <si>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</si>
  <si>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</si>
  <si>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</si>
  <si>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</si>
  <si>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</si>
  <si>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</si>
  <si>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</si>
  <si>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</si>
  <si>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</si>
  <si>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</si>
  <si>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</si>
  <si>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</si>
  <si>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</si>
  <si>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</si>
  <si>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</si>
  <si>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</si>
  <si>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</si>
  <si>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</si>
  <si>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</si>
  <si>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</si>
  <si>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</si>
  <si>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</si>
  <si>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</si>
  <si>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</si>
  <si>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</si>
  <si>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</si>
  <si>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</si>
  <si>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</si>
  <si>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</si>
  <si>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</si>
  <si>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</si>
  <si>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</si>
  <si>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</si>
  <si>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</si>
  <si>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</si>
  <si>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</si>
  <si>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</si>
  <si>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</si>
  <si>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</si>
  <si>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</si>
  <si>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</si>
  <si>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</si>
  <si>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</si>
  <si>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</si>
  <si>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</si>
  <si>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</si>
  <si>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</si>
  <si>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</si>
  <si>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</si>
  <si>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</si>
  <si>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</si>
  <si>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</si>
  <si>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</si>
  <si>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</si>
  <si>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</si>
  <si>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</si>
  <si>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</si>
  <si>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</si>
  <si>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</si>
  <si>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</si>
  <si>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</si>
  <si>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</si>
  <si>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</si>
  <si>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</si>
  <si>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</si>
  <si>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</si>
  <si>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</si>
  <si>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</si>
  <si>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</si>
  <si>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</si>
  <si>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</si>
  <si>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</si>
  <si>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</si>
  <si>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</si>
  <si>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</si>
  <si>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</si>
  <si>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</si>
  <si>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</si>
  <si>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</si>
  <si>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</si>
  <si>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</si>
  <si>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</si>
  <si>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</si>
  <si>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</si>
  <si>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</si>
  <si>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</si>
  <si>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</si>
  <si>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</si>
  <si>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</si>
  <si>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</si>
  <si>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</si>
  <si>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</si>
  <si>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</si>
  <si>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</si>
  <si>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</si>
  <si>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</si>
  <si>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</si>
  <si>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</si>
  <si>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</si>
  <si>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</si>
  <si>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</si>
  <si>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</si>
  <si>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</si>
  <si>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</si>
  <si>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</si>
  <si>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</si>
  <si>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</si>
  <si>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</si>
  <si>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</si>
  <si>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</si>
  <si>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</si>
  <si>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</si>
  <si>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</si>
  <si>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</si>
  <si>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</si>
  <si>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</si>
  <si>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</si>
  <si>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</si>
  <si>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</si>
  <si>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</si>
  <si>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</si>
  <si>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</si>
  <si>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</si>
  <si>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</si>
  <si>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</si>
  <si>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</si>
  <si>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</si>
  <si>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</si>
  <si>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</si>
  <si>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</si>
  <si>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</si>
  <si>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</si>
  <si>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</si>
  <si>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</si>
  <si>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</si>
  <si>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</si>
  <si>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</si>
  <si>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</si>
  <si>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</si>
  <si>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</si>
  <si>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</si>
  <si>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</si>
  <si>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</si>
  <si>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</si>
  <si>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</si>
  <si>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</si>
  <si>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</si>
  <si>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</si>
  <si>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</si>
  <si>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</si>
  <si>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</si>
  <si>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</si>
  <si>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</si>
  <si>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</si>
  <si>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</si>
  <si>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</si>
  <si>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</si>
  <si>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</si>
  <si>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</si>
  <si>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</si>
  <si>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</si>
  <si>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</si>
  <si>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</si>
  <si>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</si>
  <si>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</si>
  <si>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</si>
  <si>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</si>
  <si>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</si>
  <si>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</si>
  <si>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</si>
  <si>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</si>
  <si>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</si>
  <si>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</si>
  <si>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</si>
  <si>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</si>
  <si>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</si>
  <si>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</si>
  <si>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</si>
  <si>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</si>
  <si>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</si>
  <si>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</si>
  <si>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</si>
  <si>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</si>
  <si>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</si>
  <si>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</si>
  <si>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</si>
  <si>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</si>
  <si>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</si>
  <si>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</si>
  <si>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</si>
  <si>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</si>
  <si>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</si>
  <si>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</si>
  <si>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</si>
  <si>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</si>
  <si>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</si>
  <si>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</si>
  <si>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</si>
  <si>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</si>
  <si>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</si>
  <si>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</si>
  <si>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</si>
  <si>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</si>
  <si>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</si>
  <si>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</si>
  <si>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</si>
  <si>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</si>
  <si>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</si>
  <si>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</si>
  <si>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</si>
  <si>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</si>
  <si>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</si>
  <si>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</si>
  <si>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</si>
  <si>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</si>
  <si>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</si>
  <si>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</si>
  <si>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</si>
  <si>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</si>
  <si>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</si>
  <si>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</si>
  <si>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</si>
  <si>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</si>
  <si>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</si>
  <si>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</si>
  <si>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</si>
  <si>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</si>
  <si>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</si>
  <si>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</si>
  <si>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</si>
  <si>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</si>
  <si>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</si>
  <si>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</si>
  <si>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</si>
  <si>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</si>
  <si>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</si>
  <si>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</si>
  <si>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</si>
  <si>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</si>
  <si>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</si>
  <si>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</si>
  <si>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</si>
  <si>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</si>
  <si>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</si>
  <si>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</si>
  <si>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</si>
  <si>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</si>
  <si>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</si>
  <si>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</si>
  <si>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</si>
  <si>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</si>
  <si>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</si>
  <si>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</si>
  <si>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</si>
  <si>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</si>
  <si>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</si>
  <si>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</si>
  <si>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</si>
  <si>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</si>
  <si>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</si>
  <si>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</si>
  <si>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</si>
  <si>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</si>
  <si>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</si>
  <si>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</si>
  <si>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</si>
  <si>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</si>
  <si>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</si>
  <si>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</si>
  <si>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</si>
  <si>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</si>
  <si>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</si>
  <si>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</si>
  <si>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</si>
  <si>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</si>
  <si>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</si>
  <si>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</si>
  <si>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</si>
  <si>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</si>
  <si>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</si>
  <si>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</si>
  <si>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</si>
  <si>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</si>
  <si>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</si>
  <si>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</si>
  <si>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</si>
  <si>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</si>
  <si>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</si>
  <si>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</si>
  <si>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</si>
  <si>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</si>
  <si>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</si>
  <si>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</si>
  <si>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</si>
  <si>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</si>
  <si>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</si>
  <si>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</si>
  <si>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</si>
  <si>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</si>
  <si>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</si>
  <si>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</si>
  <si>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</si>
  <si>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</si>
  <si>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</si>
  <si>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</si>
  <si>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</si>
  <si>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</si>
  <si>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</si>
  <si>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</si>
  <si>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</si>
  <si>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</si>
  <si>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</si>
  <si>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</si>
  <si>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</si>
  <si>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</si>
  <si>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</si>
  <si>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</si>
  <si>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</si>
  <si>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</si>
  <si>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</si>
  <si>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</si>
  <si>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</si>
  <si>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</si>
  <si>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</si>
  <si>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</si>
  <si>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</si>
  <si>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</si>
  <si>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</si>
  <si>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</si>
  <si>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</si>
  <si>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</si>
  <si>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</si>
  <si>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</si>
  <si>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</si>
  <si>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</si>
  <si>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</si>
  <si>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</si>
  <si>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</si>
  <si>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</si>
  <si>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</si>
  <si>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</si>
  <si>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</si>
  <si>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</si>
  <si>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</si>
  <si>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</si>
  <si>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</si>
  <si>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</si>
  <si>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</si>
  <si>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</si>
  <si>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</si>
  <si>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</si>
  <si>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</si>
  <si>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</si>
  <si>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</si>
  <si>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</si>
  <si>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</si>
  <si>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</si>
  <si>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</si>
  <si>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</si>
  <si>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</si>
  <si>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</si>
  <si>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</si>
  <si>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</si>
  <si>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</si>
  <si>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</si>
  <si>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</si>
  <si>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</si>
  <si>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</si>
  <si>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</si>
  <si>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</si>
  <si>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</si>
  <si>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</si>
  <si>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</si>
  <si>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</si>
  <si>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</si>
  <si>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</si>
  <si>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</si>
  <si>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</si>
  <si>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</si>
  <si>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</si>
  <si>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</si>
  <si>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</si>
  <si>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</si>
  <si>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</si>
  <si>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</si>
  <si>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</si>
  <si>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</si>
  <si>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</si>
  <si>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</si>
  <si>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</si>
  <si>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</si>
  <si>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</si>
  <si>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</si>
  <si>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</si>
  <si>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</si>
  <si>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</si>
  <si>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</si>
  <si>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</si>
  <si>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</si>
  <si>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</si>
  <si>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</si>
  <si>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</si>
  <si>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</si>
  <si>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</si>
  <si>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</si>
  <si>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</si>
  <si>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</si>
  <si>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</si>
  <si>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</si>
  <si>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</si>
  <si>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</si>
  <si>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</si>
  <si>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</si>
  <si>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</si>
  <si>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</si>
  <si>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</si>
  <si>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</si>
  <si>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</si>
  <si>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</si>
  <si>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</si>
  <si>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</si>
  <si>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</si>
  <si>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</si>
  <si>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</si>
  <si>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</si>
  <si>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</si>
  <si>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</si>
  <si>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</si>
  <si>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</si>
  <si>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</si>
  <si>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</si>
  <si>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</si>
  <si>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</si>
  <si>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</si>
  <si>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</si>
  <si>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</si>
  <si>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</si>
  <si>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</si>
  <si>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</si>
  <si>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</si>
  <si>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</si>
  <si>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</si>
  <si>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</si>
  <si>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</si>
  <si>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</si>
  <si>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</si>
  <si>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</si>
  <si>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</si>
  <si>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</si>
  <si>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</si>
  <si>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</si>
  <si>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</si>
  <si>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</si>
  <si>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</si>
  <si>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</si>
  <si>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</si>
  <si>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</si>
  <si>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</si>
  <si>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</si>
  <si>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</si>
  <si>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</si>
  <si>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</si>
  <si>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</si>
  <si>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</si>
  <si>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</si>
  <si>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</si>
  <si>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</si>
  <si>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</si>
  <si>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</si>
  <si>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</si>
  <si>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</si>
  <si>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</si>
  <si>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</si>
  <si>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</si>
  <si>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</si>
  <si>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</si>
  <si>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</si>
  <si>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</si>
  <si>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</si>
  <si>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</si>
  <si>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</si>
  <si>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</si>
  <si>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</si>
  <si>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</si>
  <si>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</si>
  <si>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</si>
  <si>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</si>
  <si>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</si>
  <si>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</si>
  <si>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</si>
  <si>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</si>
  <si>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</si>
  <si>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</si>
  <si>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</si>
  <si>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</si>
  <si>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</si>
  <si>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</si>
  <si>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</si>
  <si>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</si>
  <si>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</si>
  <si>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</si>
  <si>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</si>
  <si>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</si>
  <si>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</si>
  <si>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</si>
  <si>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</si>
  <si>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</si>
  <si>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</si>
  <si>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</si>
  <si>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</si>
  <si>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</si>
  <si>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</si>
  <si>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</si>
  <si>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</si>
  <si>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</si>
  <si>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</si>
  <si>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</si>
  <si>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</si>
  <si>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</si>
  <si>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</si>
  <si>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</si>
  <si>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</si>
  <si>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</si>
  <si>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</si>
  <si>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</si>
  <si>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</si>
  <si>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</si>
  <si>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</si>
  <si>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</si>
  <si>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</si>
  <si>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</si>
  <si>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</si>
  <si>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</si>
  <si>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</si>
  <si>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</si>
  <si>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</si>
  <si>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</si>
  <si>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</si>
  <si>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</si>
  <si>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</si>
  <si>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</si>
  <si>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</si>
  <si>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</si>
  <si>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</si>
  <si>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</si>
  <si>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</si>
  <si>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</si>
  <si>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</si>
  <si>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</si>
  <si>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</si>
  <si>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</si>
  <si>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</si>
  <si>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</si>
  <si>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</si>
  <si>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</si>
  <si>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</si>
  <si>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</si>
  <si>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</si>
  <si>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</si>
  <si>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</si>
  <si>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</si>
  <si>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</si>
  <si>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</si>
  <si>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</si>
  <si>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</si>
  <si>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</si>
  <si>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</si>
  <si>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</si>
  <si>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</si>
  <si>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</si>
  <si>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</si>
  <si>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</si>
  <si>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</si>
  <si>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</si>
  <si>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</si>
  <si>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</si>
  <si>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</si>
  <si>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</si>
  <si>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</si>
  <si>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</si>
  <si>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</si>
  <si>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</si>
  <si>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</si>
  <si>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</si>
  <si>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</si>
  <si>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</si>
  <si>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</si>
  <si>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</si>
  <si>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</si>
  <si>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</si>
  <si>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</si>
  <si>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</si>
  <si>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</si>
  <si>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</si>
  <si>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</si>
  <si>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</si>
  <si>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</si>
  <si>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</si>
  <si>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</si>
  <si>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</si>
  <si>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</si>
  <si>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</si>
  <si>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</si>
  <si>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</si>
  <si>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</si>
  <si>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</si>
  <si>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</si>
  <si>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</si>
  <si>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</si>
  <si>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</si>
  <si>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</si>
  <si>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</si>
  <si>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</si>
  <si>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</si>
  <si>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</si>
  <si>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</si>
  <si>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</si>
  <si>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</si>
  <si>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</si>
  <si>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</si>
  <si>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</si>
  <si>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</si>
  <si>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</si>
  <si>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</si>
  <si>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</si>
  <si>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</si>
  <si>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</si>
  <si>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</si>
  <si>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</si>
  <si>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</si>
  <si>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</si>
  <si>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</si>
  <si>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</si>
  <si>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</si>
  <si>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</si>
  <si>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</si>
  <si>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</si>
  <si>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</si>
  <si>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</si>
  <si>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</si>
  <si>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</si>
  <si>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</si>
  <si>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</si>
  <si>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</si>
  <si>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</si>
  <si>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</si>
  <si>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</si>
  <si>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</si>
  <si>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</si>
  <si>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</si>
  <si>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</si>
  <si>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</si>
  <si>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</si>
  <si>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</si>
  <si>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</si>
  <si>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</si>
  <si>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</si>
  <si>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</si>
  <si>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</si>
  <si>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</si>
  <si>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</si>
  <si>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</si>
  <si>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</si>
  <si>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</si>
  <si>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</si>
  <si>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</si>
  <si>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</si>
  <si>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</si>
  <si>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</si>
  <si>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</si>
  <si>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</si>
  <si>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</si>
  <si>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</si>
  <si>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</si>
  <si>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</si>
  <si>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</si>
  <si>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</si>
  <si>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</si>
  <si>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</si>
  <si>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</si>
  <si>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</si>
  <si>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</si>
  <si>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</si>
  <si>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</si>
  <si>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</si>
  <si>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</si>
  <si>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</si>
  <si>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</si>
  <si>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</si>
  <si>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</si>
  <si>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</si>
  <si>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</si>
  <si>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</si>
  <si>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</si>
  <si>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</si>
  <si>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</si>
  <si>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</si>
  <si>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</si>
  <si>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</si>
  <si>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</si>
  <si>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</si>
  <si>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</si>
  <si>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</si>
  <si>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</si>
  <si>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</si>
  <si>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</si>
  <si>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</si>
  <si>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</si>
  <si>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</si>
  <si>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</si>
  <si>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</si>
  <si>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</si>
  <si>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</si>
  <si>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</si>
  <si>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</si>
  <si>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</si>
  <si>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</si>
  <si>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</si>
  <si>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</si>
  <si>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</si>
  <si>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</si>
  <si>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</si>
  <si>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</si>
  <si>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</si>
  <si>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</si>
  <si>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</si>
  <si>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</si>
  <si>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</si>
  <si>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</si>
  <si>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</si>
  <si>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</si>
  <si>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</si>
  <si>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</si>
  <si>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</si>
  <si>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</si>
  <si>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</si>
  <si>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</si>
  <si>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</si>
  <si>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</si>
  <si>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</si>
  <si>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</si>
  <si>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</si>
  <si>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</si>
  <si>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</si>
  <si>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</si>
  <si>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</si>
  <si>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</si>
  <si>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</si>
  <si>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</si>
  <si>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</si>
  <si>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</si>
  <si>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</si>
  <si>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</si>
  <si>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</si>
  <si>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</si>
  <si>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</si>
  <si>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</si>
  <si>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</si>
  <si>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</si>
  <si>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</si>
  <si>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</si>
  <si>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</si>
  <si>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</si>
  <si>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</si>
  <si>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</si>
  <si>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</si>
  <si>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</si>
  <si>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</si>
  <si>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</si>
  <si>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</si>
  <si>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</si>
  <si>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</si>
  <si>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</si>
  <si>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</si>
  <si>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</si>
  <si>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</si>
  <si>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</si>
  <si>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</si>
  <si>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</si>
  <si>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</si>
  <si>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</si>
  <si>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</si>
  <si>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</si>
  <si>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</si>
  <si>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</si>
  <si>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</si>
  <si>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</si>
  <si>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</si>
  <si>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</si>
  <si>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</si>
  <si>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</si>
  <si>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</si>
  <si>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</si>
  <si>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</si>
  <si>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</si>
  <si>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</si>
  <si>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</si>
  <si>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</si>
  <si>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</si>
  <si>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</si>
  <si>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</si>
  <si>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</si>
  <si>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</si>
  <si>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</si>
  <si>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</si>
  <si>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</si>
  <si>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</si>
  <si>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</si>
  <si>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</si>
  <si>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</si>
  <si>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</si>
  <si>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</si>
  <si>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</si>
  <si>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</si>
  <si>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</si>
  <si>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</si>
  <si>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</si>
  <si>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</si>
  <si>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</si>
  <si>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</si>
  <si>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</si>
  <si>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</si>
  <si>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</si>
  <si>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</si>
  <si>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</si>
  <si>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</si>
  <si>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</si>
  <si>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</si>
  <si>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</si>
  <si>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</si>
  <si>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</si>
  <si>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</si>
  <si>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</si>
  <si>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</si>
  <si>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</si>
  <si>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</si>
  <si>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</si>
  <si>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</si>
  <si>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</si>
  <si>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</si>
  <si>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</si>
  <si>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</si>
  <si>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</si>
  <si>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</si>
  <si>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</si>
  <si>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</si>
  <si>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</si>
  <si>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</si>
  <si>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</si>
  <si>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</si>
  <si>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</si>
  <si>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</si>
  <si>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</si>
  <si>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</si>
  <si>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</si>
  <si>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</si>
  <si>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</si>
  <si>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</si>
  <si>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</si>
  <si>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</si>
  <si>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</si>
  <si>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</si>
  <si>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</si>
  <si>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</si>
  <si>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</si>
  <si>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</si>
  <si>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</si>
  <si>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</si>
  <si>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</si>
  <si>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</si>
  <si>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</si>
  <si>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</si>
  <si>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</si>
  <si>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</si>
  <si>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</si>
  <si>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</si>
  <si>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</si>
  <si>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</si>
  <si>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</si>
  <si>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</si>
  <si>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</si>
  <si>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</si>
  <si>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</si>
  <si>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</si>
  <si>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</si>
  <si>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</si>
  <si>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</si>
  <si>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</si>
  <si>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</si>
  <si>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</si>
  <si>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</si>
  <si>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</si>
  <si>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</si>
  <si>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</si>
  <si>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</si>
  <si>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</si>
  <si>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</si>
  <si>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</si>
  <si>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</si>
  <si>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</si>
  <si>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</si>
  <si>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</si>
  <si>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</si>
  <si>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</si>
  <si>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</si>
  <si>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</si>
  <si>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</si>
  <si>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</si>
  <si>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</si>
  <si>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</si>
  <si>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</si>
  <si>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</si>
  <si>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</si>
  <si>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</si>
  <si>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</si>
  <si>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</si>
  <si>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</si>
  <si>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</si>
  <si>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</si>
  <si>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</si>
  <si>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</si>
  <si>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</si>
  <si>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</si>
  <si>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</si>
  <si>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</si>
  <si>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</si>
  <si>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</si>
  <si>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</si>
  <si>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</si>
  <si>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</si>
  <si>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</si>
  <si>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</si>
  <si>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</si>
  <si>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</si>
  <si>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</si>
  <si>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</si>
  <si>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</si>
  <si>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</si>
  <si>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</si>
  <si>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</si>
  <si>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</si>
  <si>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</si>
  <si>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</si>
  <si>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</si>
  <si>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</si>
  <si>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</si>
  <si>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</si>
  <si>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</si>
  <si>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</si>
  <si>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</si>
  <si>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</si>
  <si>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</si>
  <si>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</si>
  <si>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</si>
  <si>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</si>
  <si>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</si>
  <si>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</si>
  <si>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</si>
  <si>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</si>
  <si>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</si>
  <si>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</si>
  <si>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</si>
  <si>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</si>
  <si>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</si>
  <si>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</si>
  <si>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</si>
  <si>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</si>
  <si>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</si>
  <si>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</si>
  <si>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</si>
  <si>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</si>
  <si>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</si>
  <si>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</si>
  <si>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</si>
  <si>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</si>
  <si>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</si>
  <si>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</si>
  <si>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</si>
  <si>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</si>
  <si>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</si>
  <si>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</si>
  <si>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</si>
  <si>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</si>
  <si>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</si>
  <si>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</si>
  <si>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</si>
  <si>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</si>
  <si>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</si>
  <si>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</si>
  <si>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</si>
  <si>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</si>
  <si>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</si>
  <si>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</si>
  <si>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</si>
  <si>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</si>
  <si>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</si>
  <si>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</si>
  <si>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</si>
  <si>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</si>
  <si>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</si>
  <si>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</si>
  <si>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</si>
  <si>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</si>
  <si>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</si>
  <si>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</si>
  <si>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</si>
  <si>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</si>
  <si>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</si>
  <si>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</si>
  <si>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</si>
  <si>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</si>
  <si>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</si>
  <si>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</si>
  <si>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</si>
  <si>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</si>
  <si>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</si>
  <si>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</si>
  <si>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</si>
  <si>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</si>
  <si>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</si>
  <si>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</si>
  <si>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</si>
  <si>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</si>
  <si>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</si>
  <si>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</si>
  <si>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</si>
  <si>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</si>
  <si>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</si>
  <si>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</si>
  <si>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</si>
  <si>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</si>
  <si>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</si>
  <si>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</si>
  <si>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</si>
  <si>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</si>
  <si>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</si>
  <si>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</si>
  <si>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</si>
  <si>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</si>
  <si>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</si>
  <si>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</si>
  <si>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</si>
  <si>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</si>
  <si>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</si>
  <si>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</si>
  <si>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</si>
  <si>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</si>
  <si>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</si>
  <si>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</si>
  <si>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</si>
  <si>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</si>
  <si>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</si>
  <si>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</si>
  <si>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</si>
  <si>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</si>
  <si>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</si>
  <si>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</si>
  <si>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</si>
  <si>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</si>
  <si>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</si>
  <si>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</si>
  <si>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</si>
  <si>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</si>
  <si>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</si>
  <si>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</si>
  <si>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</si>
  <si>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</si>
  <si>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</si>
  <si>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</si>
  <si>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</si>
  <si>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</si>
  <si>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</si>
  <si>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</si>
  <si>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</si>
  <si>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</si>
  <si>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</si>
  <si>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</si>
  <si>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</si>
  <si>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</si>
  <si>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</si>
  <si>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</si>
  <si>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</si>
  <si>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</si>
  <si>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</si>
  <si>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</si>
  <si>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</si>
  <si>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</si>
  <si>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</si>
  <si>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</si>
  <si>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</si>
  <si>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</si>
  <si>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</si>
  <si>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</si>
  <si>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</si>
  <si>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</si>
  <si>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</si>
  <si>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</si>
  <si>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</si>
  <si>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</si>
  <si>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</si>
  <si>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</si>
  <si>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</si>
  <si>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</si>
  <si>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</si>
  <si>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</si>
  <si>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</si>
  <si>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</si>
  <si>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</si>
  <si>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</si>
  <si>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</si>
  <si>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</si>
  <si>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</si>
  <si>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</si>
  <si>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</si>
  <si>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</si>
  <si>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</si>
  <si>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</si>
  <si>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</si>
  <si>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</si>
  <si>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</si>
  <si>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</si>
  <si>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</si>
  <si>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</si>
  <si>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</si>
  <si>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</si>
  <si>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</si>
  <si>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</si>
  <si>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</si>
  <si>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</si>
  <si>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</si>
  <si>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</si>
  <si>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</si>
  <si>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</si>
  <si>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</si>
  <si>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</si>
  <si>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</si>
  <si>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</si>
  <si>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</si>
  <si>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</si>
  <si>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</si>
  <si>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</si>
  <si>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</si>
  <si>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</si>
  <si>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</si>
  <si>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</si>
  <si>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</si>
  <si>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</si>
  <si>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</si>
  <si>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</si>
  <si>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</si>
  <si>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</si>
  <si>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</si>
  <si>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</si>
  <si>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</si>
  <si>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</si>
  <si>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</si>
  <si>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</si>
  <si>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</si>
  <si>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</si>
  <si>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</si>
  <si>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</si>
  <si>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</si>
  <si>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</si>
  <si>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</si>
  <si>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</si>
  <si>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</si>
  <si>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</si>
  <si>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</si>
  <si>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</si>
  <si>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</si>
  <si>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</si>
  <si>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</si>
  <si>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</si>
  <si>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</si>
  <si>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</si>
  <si>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</si>
  <si>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</si>
  <si>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</si>
  <si>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</si>
  <si>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</si>
  <si>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</si>
  <si>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</si>
  <si>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</si>
  <si>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</si>
  <si>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</si>
  <si>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</si>
  <si>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</si>
  <si>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</si>
  <si>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</si>
  <si>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</si>
  <si>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</si>
  <si>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</si>
  <si>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</si>
  <si>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</si>
  <si>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</si>
  <si>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</si>
  <si>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</si>
  <si>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</si>
  <si>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</si>
  <si>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</si>
  <si>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</si>
  <si>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</si>
  <si>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</si>
  <si>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</si>
  <si>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</si>
  <si>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</si>
  <si>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</si>
  <si>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</si>
  <si>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</si>
  <si>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</si>
  <si>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</si>
  <si>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</si>
  <si>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</si>
  <si>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</si>
  <si>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</si>
  <si>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</si>
  <si>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</si>
  <si>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</si>
  <si>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</si>
  <si>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</si>
  <si>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</si>
  <si>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</si>
  <si>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</si>
  <si>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</si>
  <si>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</si>
  <si>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</si>
  <si>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</si>
  <si>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</si>
  <si>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</si>
  <si>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</si>
  <si>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</si>
  <si>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</si>
  <si>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</si>
  <si>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</si>
  <si>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</si>
  <si>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</si>
  <si>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</si>
  <si>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</si>
  <si>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</si>
  <si>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</si>
  <si>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</si>
  <si>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</si>
  <si>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</si>
  <si>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</si>
  <si>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</si>
  <si>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</si>
  <si>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</si>
  <si>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</si>
  <si>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</si>
  <si>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</si>
  <si>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</si>
  <si>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</si>
  <si>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</si>
  <si>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</si>
  <si>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</si>
  <si>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</si>
  <si>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</si>
  <si>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</si>
  <si>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</si>
  <si>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</si>
  <si>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</si>
  <si>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</si>
  <si>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</si>
  <si>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</si>
  <si>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</si>
  <si>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</si>
  <si>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</si>
  <si>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</si>
  <si>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</si>
  <si>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</si>
  <si>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</si>
  <si>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</si>
  <si>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</si>
  <si>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</si>
  <si>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</si>
  <si>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</si>
  <si>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</si>
  <si>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</si>
  <si>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</si>
  <si>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</si>
  <si>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</si>
  <si>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</si>
  <si>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</si>
  <si>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</si>
  <si>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</si>
  <si>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</si>
  <si>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</si>
  <si>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</si>
  <si>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</si>
  <si>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</si>
  <si>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</si>
  <si>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</si>
  <si>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</si>
  <si>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</si>
  <si>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</si>
  <si>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</si>
  <si>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</si>
  <si>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</si>
  <si>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</si>
  <si>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</si>
  <si>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Attrition Rate</t>
  </si>
  <si>
    <t>Average of Job Satisfaction</t>
  </si>
  <si>
    <t>Rating</t>
  </si>
  <si>
    <t>Balance Rating</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</si>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</sst>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family val="2"/>
      <scheme val="minor"/>
    </font>
    <font>
      <sz val="12"/>
      <color theme="1"/>
      <name val="Calibri"/>
      <family val="2"/>
      <scheme val="minor"/>
    </font>
    <font>
      <b/>
      <sz val="16"/>
      <color rgb="FF00206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2" fillId="0" borderId="0" applyFont="0" applyFill="0" applyBorder="0" applyAlignment="0" applyProtection="0"/>
  </cellStyleXfs>
  <cellXfs count="29">
    <xf numFmtId="0" fontId="0" fillId="0" borderId="0" xfId="0" applyFont="1" applyAlignment="1"/>
    <xf numFmtId="0" fontId="1" fillId="0" borderId="0" xfId="0" applyFont="1"/>
    <xf numFmtId="0" fontId="0" fillId="0" borderId="1" xfId="0" applyFont="1" applyBorder="1" applyAlignment="1"/>
    <xf numFmtId="0" fontId="0" fillId="0" borderId="3" xfId="0" applyFont="1" applyBorder="1" applyAlignment="1"/>
    <xf numFmtId="0" fontId="0" fillId="0" borderId="2" xfId="0" applyNumberFormat="1"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0" fontId="1" fillId="0" borderId="0" xfId="0" applyFont="1" applyAlignment="1"/>
    <xf numFmtId="1" fontId="0" fillId="0" borderId="0" xfId="0" applyNumberFormat="1" applyFont="1" applyAlignment="1"/>
    <xf numFmtId="10" fontId="0" fillId="0" borderId="0" xfId="1" applyNumberFormat="1" applyFont="1" applyAlignment="1"/>
    <xf numFmtId="0" fontId="0" fillId="2" borderId="0" xfId="0" applyFont="1" applyFill="1" applyAlignment="1"/>
    <xf numFmtId="0" fontId="0" fillId="0" borderId="7" xfId="0" applyFont="1" applyBorder="1" applyAlignment="1"/>
    <xf numFmtId="164" fontId="0" fillId="0" borderId="8" xfId="0" applyNumberFormat="1" applyFont="1" applyBorder="1" applyAlignment="1"/>
    <xf numFmtId="164" fontId="0" fillId="0" borderId="0" xfId="0" applyNumberFormat="1" applyFont="1" applyAlignment="1"/>
    <xf numFmtId="0" fontId="0" fillId="0" borderId="1" xfId="0" pivotButton="1" applyFont="1" applyBorder="1" applyAlignment="1"/>
    <xf numFmtId="0" fontId="0" fillId="0" borderId="1" xfId="0" applyFont="1" applyBorder="1" applyAlignment="1">
      <alignment horizontal="left"/>
    </xf>
    <xf numFmtId="0" fontId="0" fillId="0" borderId="7" xfId="0" applyNumberFormat="1" applyFont="1" applyBorder="1" applyAlignment="1"/>
    <xf numFmtId="0" fontId="0" fillId="0" borderId="9" xfId="0" applyFont="1" applyBorder="1" applyAlignment="1">
      <alignment horizontal="left"/>
    </xf>
    <xf numFmtId="0" fontId="0" fillId="0" borderId="10" xfId="0" applyNumberFormat="1" applyFont="1" applyBorder="1" applyAlignment="1"/>
    <xf numFmtId="0" fontId="0" fillId="0" borderId="2" xfId="0" applyFont="1" applyBorder="1" applyAlignment="1">
      <alignment horizontal="left"/>
    </xf>
    <xf numFmtId="0" fontId="0" fillId="0" borderId="8" xfId="0" applyNumberFormat="1" applyFont="1" applyBorder="1" applyAlignment="1"/>
    <xf numFmtId="0" fontId="0" fillId="0" borderId="0" xfId="0" applyFont="1" applyFill="1" applyBorder="1" applyAlignment="1">
      <alignment horizontal="left"/>
    </xf>
    <xf numFmtId="9" fontId="0" fillId="0" borderId="0" xfId="1" applyFont="1" applyAlignment="1"/>
    <xf numFmtId="0" fontId="3" fillId="3" borderId="0" xfId="0" applyFont="1" applyFill="1" applyAlignment="1">
      <alignment horizontal="center"/>
    </xf>
    <xf numFmtId="0" fontId="1" fillId="0" borderId="0" xfId="0" applyFont="1" applyFill="1" applyBorder="1" applyAlignment="1"/>
    <xf numFmtId="10" fontId="0" fillId="0" borderId="7" xfId="0" applyNumberFormat="1" applyFont="1" applyBorder="1" applyAlignment="1"/>
    <xf numFmtId="10" fontId="0" fillId="0" borderId="10" xfId="0" applyNumberFormat="1" applyFont="1" applyBorder="1" applyAlignment="1"/>
    <xf numFmtId="10" fontId="0" fillId="0" borderId="8" xfId="0" applyNumberFormat="1" applyFont="1" applyBorder="1" applyAlignment="1"/>
  </cellXfs>
  <cellStyles count="2">
    <cellStyle name="Normal" xfId="0" builtinId="0"/>
    <cellStyle name="Percent" xfId="1" builtinId="5"/>
  </cellStyles>
  <dxfs count="5">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4"/>
      <tableStyleElement type="firstRowStripe" dxfId="3"/>
      <tableStyleElement type="secondRowStripe" dxfId="2"/>
    </tableStyle>
    <tableStyle name="Slicer" pivot="0" table="0" count="4" xr9:uid="{03E70EEB-5CF7-4165-A2B6-7020D6C0613C}">
      <tableStyleElement type="wholeTable" dxfId="1"/>
    </tableStyle>
  </tableStyles>
  <colors>
    <mruColors>
      <color rgb="FF9A1280"/>
      <color rgb="FFE335DB"/>
      <color rgb="FF761463"/>
    </mruColors>
  </colors>
  <extLst>
    <ext xmlns:x14="http://schemas.microsoft.com/office/spreadsheetml/2009/9/main" uri="{46F421CA-312F-682f-3DD2-61675219B42D}">
      <x14:dxfs count="3">
        <dxf>
          <fill>
            <gradientFill>
              <stop position="0">
                <color theme="1" tint="0.25098422193060094"/>
              </stop>
              <stop position="1">
                <color theme="0" tint="-0.49803155613879818"/>
              </stop>
            </gradientFill>
          </fill>
        </dxf>
        <dxf>
          <font>
            <b/>
            <i val="0"/>
            <color theme="0"/>
            <name val="Calibri"/>
            <family val="2"/>
            <scheme val="minor"/>
          </font>
          <fill>
            <gradientFill>
              <stop position="0">
                <color theme="9" tint="-0.25098422193060094"/>
              </stop>
              <stop position="1">
                <color theme="9" tint="0.40000610370189521"/>
              </stop>
            </gradientFill>
          </fill>
        </dxf>
        <dxf>
          <fill>
            <gradientFill>
              <stop position="0">
                <color theme="1" tint="5.0965910824915313E-2"/>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47-4438-995B-CD5723A675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47-4438-995B-CD5723A6758F}"/>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F1D2-4E5F-895A-82183C94F9A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0.15812721939169369"/>
          <c:w val="0.93888888888888888"/>
          <c:h val="0.79094642581442021"/>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75F7-4B6F-A756-051B764A7CAF}"/>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0-B9FC-45A9-B109-2A4FB13A4DB0}"/>
            </c:ext>
          </c:extLst>
        </c:ser>
        <c:dLbls>
          <c:showLegendKey val="0"/>
          <c:showVal val="0"/>
          <c:showCatName val="0"/>
          <c:showSerName val="0"/>
          <c:showPercent val="0"/>
          <c:showBubbleSize val="0"/>
        </c:dLbls>
        <c:gapWidth val="0"/>
        <c:overlap val="100"/>
        <c:axId val="341052432"/>
        <c:axId val="341446880"/>
      </c:barChart>
      <c:catAx>
        <c:axId val="341052432"/>
        <c:scaling>
          <c:orientation val="minMax"/>
        </c:scaling>
        <c:delete val="1"/>
        <c:axPos val="l"/>
        <c:majorTickMark val="out"/>
        <c:minorTickMark val="none"/>
        <c:tickLblPos val="nextTo"/>
        <c:crossAx val="341446880"/>
        <c:crosses val="autoZero"/>
        <c:auto val="1"/>
        <c:lblAlgn val="ctr"/>
        <c:lblOffset val="100"/>
        <c:noMultiLvlLbl val="0"/>
      </c:catAx>
      <c:valAx>
        <c:axId val="341446880"/>
        <c:scaling>
          <c:orientation val="minMax"/>
          <c:max val="4"/>
        </c:scaling>
        <c:delete val="1"/>
        <c:axPos val="b"/>
        <c:numFmt formatCode="0.0" sourceLinked="1"/>
        <c:majorTickMark val="out"/>
        <c:minorTickMark val="none"/>
        <c:tickLblPos val="nextTo"/>
        <c:crossAx val="341052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5A-4680-8309-C4FFD34AE4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5A-4680-8309-C4FFD34AE41C}"/>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924F-4F1F-A5DB-C7269A0C8AD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D7D-4C83-8D89-781AF07F4C9E}"/>
            </c:ext>
          </c:extLst>
        </c:ser>
        <c:dLbls>
          <c:dLblPos val="outEnd"/>
          <c:showLegendKey val="0"/>
          <c:showVal val="1"/>
          <c:showCatName val="0"/>
          <c:showSerName val="0"/>
          <c:showPercent val="0"/>
          <c:showBubbleSize val="0"/>
        </c:dLbls>
        <c:gapWidth val="182"/>
        <c:axId val="565043920"/>
        <c:axId val="561678400"/>
      </c:barChart>
      <c:catAx>
        <c:axId val="565043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678400"/>
        <c:crosses val="autoZero"/>
        <c:auto val="1"/>
        <c:lblAlgn val="ctr"/>
        <c:lblOffset val="100"/>
        <c:noMultiLvlLbl val="0"/>
      </c:catAx>
      <c:valAx>
        <c:axId val="561678400"/>
        <c:scaling>
          <c:orientation val="minMax"/>
        </c:scaling>
        <c:delete val="1"/>
        <c:axPos val="b"/>
        <c:numFmt formatCode="General" sourceLinked="1"/>
        <c:majorTickMark val="out"/>
        <c:minorTickMark val="none"/>
        <c:tickLblPos val="nextTo"/>
        <c:crossAx val="56504392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52-43BA-ACA6-1E0FA4BD7C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52-43BA-ACA6-1E0FA4BD7C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52-43BA-ACA6-1E0FA4BD7C07}"/>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90B5-4752-B4B0-A876CDCD126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2AE-409F-B908-CE4FEE3ED510}"/>
            </c:ext>
          </c:extLst>
        </c:ser>
        <c:dLbls>
          <c:showLegendKey val="0"/>
          <c:showVal val="0"/>
          <c:showCatName val="0"/>
          <c:showSerName val="0"/>
          <c:showPercent val="0"/>
          <c:showBubbleSize val="0"/>
        </c:dLbls>
        <c:gapWidth val="219"/>
        <c:overlap val="-27"/>
        <c:axId val="1015446624"/>
        <c:axId val="1186550288"/>
      </c:barChart>
      <c:catAx>
        <c:axId val="101544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550288"/>
        <c:crosses val="autoZero"/>
        <c:auto val="1"/>
        <c:lblAlgn val="ctr"/>
        <c:lblOffset val="100"/>
        <c:noMultiLvlLbl val="0"/>
      </c:catAx>
      <c:valAx>
        <c:axId val="1186550288"/>
        <c:scaling>
          <c:orientation val="minMax"/>
        </c:scaling>
        <c:delete val="1"/>
        <c:axPos val="l"/>
        <c:numFmt formatCode="General" sourceLinked="1"/>
        <c:majorTickMark val="none"/>
        <c:minorTickMark val="none"/>
        <c:tickLblPos val="nextTo"/>
        <c:crossAx val="1015446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0.15812721939169369"/>
          <c:w val="0.93888888888888888"/>
          <c:h val="0.79094642581442021"/>
        </c:manualLayout>
      </c:layout>
      <c:barChart>
        <c:barDir val="bar"/>
        <c:grouping val="stacked"/>
        <c:varyColors val="0"/>
        <c:ser>
          <c:idx val="2"/>
          <c:order val="0"/>
          <c:spPr>
            <a:solidFill>
              <a:schemeClr val="accent2">
                <a:lumMod val="50000"/>
              </a:schemeClr>
            </a:solidFill>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1E-3387-4A16-AC26-FF21A38F33E5}"/>
            </c:ext>
          </c:extLst>
        </c:ser>
        <c:ser>
          <c:idx val="3"/>
          <c:order val="1"/>
          <c:spPr>
            <a:solidFill>
              <a:schemeClr val="bg1"/>
            </a:solidFill>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1F-3387-4A16-AC26-FF21A38F33E5}"/>
            </c:ext>
          </c:extLst>
        </c:ser>
        <c:ser>
          <c:idx val="4"/>
          <c:order val="2"/>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20-3387-4A16-AC26-FF21A38F33E5}"/>
            </c:ext>
          </c:extLst>
        </c:ser>
        <c:ser>
          <c:idx val="5"/>
          <c:order val="3"/>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21-3387-4A16-AC26-FF21A38F33E5}"/>
            </c:ext>
          </c:extLst>
        </c:ser>
        <c:ser>
          <c:idx val="6"/>
          <c:order val="4"/>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22-3387-4A16-AC26-FF21A38F33E5}"/>
            </c:ext>
          </c:extLst>
        </c:ser>
        <c:ser>
          <c:idx val="7"/>
          <c:order val="5"/>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23-3387-4A16-AC26-FF21A38F33E5}"/>
            </c:ext>
          </c:extLst>
        </c:ser>
        <c:ser>
          <c:idx val="8"/>
          <c:order val="6"/>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24-3387-4A16-AC26-FF21A38F33E5}"/>
            </c:ext>
          </c:extLst>
        </c:ser>
        <c:ser>
          <c:idx val="9"/>
          <c:order val="7"/>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25-3387-4A16-AC26-FF21A38F33E5}"/>
            </c:ext>
          </c:extLst>
        </c:ser>
        <c:ser>
          <c:idx val="0"/>
          <c:order val="8"/>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1B-3387-4A16-AC26-FF21A38F33E5}"/>
            </c:ext>
          </c:extLst>
        </c:ser>
        <c:ser>
          <c:idx val="1"/>
          <c:order val="9"/>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1D-3387-4A16-AC26-FF21A38F33E5}"/>
            </c:ext>
          </c:extLst>
        </c:ser>
        <c:dLbls>
          <c:showLegendKey val="0"/>
          <c:showVal val="0"/>
          <c:showCatName val="0"/>
          <c:showSerName val="0"/>
          <c:showPercent val="0"/>
          <c:showBubbleSize val="0"/>
        </c:dLbls>
        <c:gapWidth val="0"/>
        <c:overlap val="100"/>
        <c:axId val="341052432"/>
        <c:axId val="341446880"/>
      </c:barChart>
      <c:catAx>
        <c:axId val="341052432"/>
        <c:scaling>
          <c:orientation val="minMax"/>
        </c:scaling>
        <c:delete val="1"/>
        <c:axPos val="l"/>
        <c:majorTickMark val="out"/>
        <c:minorTickMark val="none"/>
        <c:tickLblPos val="nextTo"/>
        <c:crossAx val="341446880"/>
        <c:crosses val="autoZero"/>
        <c:auto val="1"/>
        <c:lblAlgn val="ctr"/>
        <c:lblOffset val="100"/>
        <c:noMultiLvlLbl val="0"/>
      </c:catAx>
      <c:valAx>
        <c:axId val="341446880"/>
        <c:scaling>
          <c:orientation val="minMax"/>
          <c:max val="4"/>
        </c:scaling>
        <c:delete val="1"/>
        <c:axPos val="b"/>
        <c:numFmt formatCode="0.0" sourceLinked="1"/>
        <c:majorTickMark val="out"/>
        <c:minorTickMark val="none"/>
        <c:tickLblPos val="nextTo"/>
        <c:crossAx val="34105243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50000"/>
                    </a:schemeClr>
                  </a:gs>
                  <a:gs pos="100000">
                    <a:schemeClr val="accent6"/>
                  </a:gs>
                </a:gsLst>
                <a:lin ang="5400000" scaled="1"/>
              </a:gradFill>
              <a:ln w="19050">
                <a:noFill/>
              </a:ln>
              <a:effectLst/>
            </c:spPr>
            <c:extLst>
              <c:ext xmlns:c16="http://schemas.microsoft.com/office/drawing/2014/chart" uri="{C3380CC4-5D6E-409C-BE32-E72D297353CC}">
                <c16:uniqueId val="{00000001-442B-4D3B-AEF5-294E215F554F}"/>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442B-4D3B-AEF5-294E215F554F}"/>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442B-4D3B-AEF5-294E215F554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761463"/>
                  </a:gs>
                  <a:gs pos="100000">
                    <a:srgbClr val="E335DB"/>
                  </a:gs>
                </a:gsLst>
                <a:lin ang="10800000" scaled="0"/>
              </a:gradFill>
              <a:ln w="19050">
                <a:noFill/>
              </a:ln>
              <a:effectLst/>
            </c:spPr>
            <c:extLst>
              <c:ext xmlns:c16="http://schemas.microsoft.com/office/drawing/2014/chart" uri="{C3380CC4-5D6E-409C-BE32-E72D297353CC}">
                <c16:uniqueId val="{00000001-D6BD-4616-8AB2-13FA948C3DCC}"/>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D6BD-4616-8AB2-13FA948C3DCC}"/>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D6BD-4616-8AB2-13FA948C3DC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442544100839566"/>
          <c:y val="0.12880394884353402"/>
          <c:w val="0.63505779167627541"/>
          <c:h val="0.7820240865724809"/>
        </c:manualLayout>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7E27-40D1-86B6-85D5E99D1F2C}"/>
              </c:ext>
            </c:extLst>
          </c:dPt>
          <c:dPt>
            <c:idx val="1"/>
            <c:bubble3D val="0"/>
            <c:spPr>
              <a:gradFill>
                <a:gsLst>
                  <a:gs pos="0">
                    <a:srgbClr val="002060"/>
                  </a:gs>
                  <a:gs pos="100000">
                    <a:schemeClr val="accent5">
                      <a:lumMod val="75000"/>
                    </a:schemeClr>
                  </a:gs>
                </a:gsLst>
                <a:lin ang="10800000" scaled="0"/>
              </a:gradFill>
              <a:ln w="19050">
                <a:noFill/>
              </a:ln>
              <a:effectLst/>
            </c:spPr>
            <c:extLst>
              <c:ext xmlns:c16="http://schemas.microsoft.com/office/drawing/2014/chart" uri="{C3380CC4-5D6E-409C-BE32-E72D297353CC}">
                <c16:uniqueId val="{00000003-7E27-40D1-86B6-85D5E99D1F2C}"/>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7E27-40D1-86B6-85D5E99D1F2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5400000" scaled="1"/>
          </a:gradFill>
          <a:ln>
            <a:gradFill>
              <a:gsLst>
                <a:gs pos="0">
                  <a:schemeClr val="accent6">
                    <a:lumMod val="50000"/>
                  </a:schemeClr>
                </a:gs>
                <a:gs pos="100000">
                  <a:schemeClr val="accent6">
                    <a:lumMod val="75000"/>
                  </a:schemeClr>
                </a:gs>
              </a:gsLst>
              <a:lin ang="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lumMod val="50000"/>
                </a:schemeClr>
              </a:gs>
              <a:gs pos="100000">
                <a:schemeClr val="accent6">
                  <a:lumMod val="75000"/>
                </a:schemeClr>
              </a:gs>
            </a:gsLst>
            <a:lin ang="5400000" scaled="1"/>
          </a:gradFill>
          <a:ln>
            <a:gradFill>
              <a:gsLst>
                <a:gs pos="0">
                  <a:schemeClr val="accent6">
                    <a:lumMod val="50000"/>
                  </a:schemeClr>
                </a:gs>
                <a:gs pos="100000">
                  <a:schemeClr val="accent6">
                    <a:lumMod val="75000"/>
                  </a:schemeClr>
                </a:gs>
              </a:gsLst>
              <a:lin ang="0" scaled="0"/>
            </a:gradFill>
          </a:ln>
          <a:effectLst/>
        </c:spPr>
      </c:pivotFmt>
    </c:pivotFmts>
    <c:plotArea>
      <c:layout>
        <c:manualLayout>
          <c:layoutTarget val="inner"/>
          <c:xMode val="edge"/>
          <c:yMode val="edge"/>
          <c:x val="0.25673447069116356"/>
          <c:y val="4.2252066988349393E-2"/>
          <c:w val="0.74326552930883638"/>
          <c:h val="0.95774793301165062"/>
        </c:manualLayout>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75000"/>
                  </a:schemeClr>
                </a:gs>
              </a:gsLst>
              <a:lin ang="5400000" scaled="1"/>
            </a:gradFill>
            <a:ln>
              <a:gradFill>
                <a:gsLst>
                  <a:gs pos="0">
                    <a:schemeClr val="accent6">
                      <a:lumMod val="50000"/>
                    </a:schemeClr>
                  </a:gs>
                  <a:gs pos="100000">
                    <a:schemeClr val="accent6">
                      <a:lumMod val="75000"/>
                    </a:schemeClr>
                  </a:gs>
                </a:gsLst>
                <a:lin ang="0" scaled="0"/>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5BF-41FE-ADC2-784700E910A3}"/>
            </c:ext>
          </c:extLst>
        </c:ser>
        <c:dLbls>
          <c:dLblPos val="outEnd"/>
          <c:showLegendKey val="0"/>
          <c:showVal val="1"/>
          <c:showCatName val="0"/>
          <c:showSerName val="0"/>
          <c:showPercent val="0"/>
          <c:showBubbleSize val="0"/>
        </c:dLbls>
        <c:gapWidth val="75"/>
        <c:axId val="565043920"/>
        <c:axId val="561678400"/>
      </c:barChart>
      <c:catAx>
        <c:axId val="565043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2">
                    <a:lumMod val="85000"/>
                    <a:lumOff val="15000"/>
                  </a:schemeClr>
                </a:solidFill>
                <a:latin typeface="+mn-lt"/>
                <a:ea typeface="+mn-ea"/>
                <a:cs typeface="+mn-cs"/>
              </a:defRPr>
            </a:pPr>
            <a:endParaRPr lang="en-US"/>
          </a:p>
        </c:txPr>
        <c:crossAx val="561678400"/>
        <c:crosses val="autoZero"/>
        <c:auto val="1"/>
        <c:lblAlgn val="ctr"/>
        <c:lblOffset val="100"/>
        <c:noMultiLvlLbl val="0"/>
      </c:catAx>
      <c:valAx>
        <c:axId val="561678400"/>
        <c:scaling>
          <c:orientation val="minMax"/>
        </c:scaling>
        <c:delete val="1"/>
        <c:axPos val="b"/>
        <c:numFmt formatCode="General" sourceLinked="1"/>
        <c:majorTickMark val="out"/>
        <c:minorTickMark val="none"/>
        <c:tickLblPos val="nextTo"/>
        <c:crossAx val="56504392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chemeClr val="accent3">
                  <a:lumMod val="50000"/>
                </a:schemeClr>
              </a:gs>
              <a:gs pos="100000">
                <a:schemeClr val="accent1">
                  <a:lumMod val="30000"/>
                  <a:lumOff val="70000"/>
                </a:schemeClr>
              </a:gs>
            </a:gsLst>
            <a:lin ang="5400000" scaled="1"/>
          </a:gradFill>
          <a:ln w="12700">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60000"/>
                  <a:lumOff val="40000"/>
                </a:schemeClr>
              </a:gs>
              <a:gs pos="100000">
                <a:schemeClr val="accent1">
                  <a:lumMod val="40000"/>
                  <a:lumOff val="60000"/>
                </a:schemeClr>
              </a:gs>
            </a:gsLst>
            <a:lin ang="5400000" scaled="1"/>
          </a:gradFill>
          <a:ln w="12700">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5">
                  <a:lumMod val="50000"/>
                </a:schemeClr>
              </a:gs>
              <a:gs pos="100000">
                <a:schemeClr val="accent5">
                  <a:lumMod val="75000"/>
                </a:schemeClr>
              </a:gs>
            </a:gsLst>
            <a:lin ang="10800000" scaled="0"/>
          </a:gradFill>
          <a:ln w="12700">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9.2016615603546046E-3"/>
              <c:y val="-4.232034905401028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tx1">
                  <a:lumMod val="65000"/>
                  <a:lumOff val="35000"/>
                </a:schemeClr>
              </a:gs>
              <a:gs pos="100000">
                <a:schemeClr val="tx1">
                  <a:lumMod val="65000"/>
                  <a:lumOff val="35000"/>
                </a:schemeClr>
              </a:gs>
            </a:gsLst>
            <a:lin ang="5400000" scaled="1"/>
          </a:gradFill>
          <a:ln w="12700">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9.5808073187936427E-3"/>
              <c:y val="-7.031108377132937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spPr>
            <a:gradFill>
              <a:gsLst>
                <a:gs pos="0">
                  <a:schemeClr val="accent3">
                    <a:lumMod val="50000"/>
                  </a:schemeClr>
                </a:gs>
                <a:gs pos="100000">
                  <a:schemeClr val="accent1">
                    <a:lumMod val="30000"/>
                    <a:lumOff val="70000"/>
                  </a:schemeClr>
                </a:gs>
              </a:gsLst>
              <a:lin ang="5400000" scaled="1"/>
            </a:gradFill>
            <a:ln w="12700">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gradFill>
                <a:gsLst>
                  <a:gs pos="0">
                    <a:schemeClr val="accent1">
                      <a:lumMod val="60000"/>
                      <a:lumOff val="40000"/>
                    </a:schemeClr>
                  </a:gs>
                  <a:gs pos="100000">
                    <a:schemeClr val="accent1">
                      <a:lumMod val="40000"/>
                      <a:lumOff val="60000"/>
                    </a:schemeClr>
                  </a:gs>
                </a:gsLst>
                <a:lin ang="5400000" scaled="1"/>
              </a:gradFill>
              <a:ln w="12700">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5C44-488D-8B1A-5E915CC67E2E}"/>
              </c:ext>
            </c:extLst>
          </c:dPt>
          <c:dPt>
            <c:idx val="1"/>
            <c:bubble3D val="0"/>
            <c:spPr>
              <a:gradFill>
                <a:gsLst>
                  <a:gs pos="0">
                    <a:schemeClr val="accent5">
                      <a:lumMod val="50000"/>
                    </a:schemeClr>
                  </a:gs>
                  <a:gs pos="100000">
                    <a:schemeClr val="accent5">
                      <a:lumMod val="75000"/>
                    </a:schemeClr>
                  </a:gs>
                </a:gsLst>
                <a:lin ang="10800000" scaled="0"/>
              </a:gradFill>
              <a:ln w="12700">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5C44-488D-8B1A-5E915CC67E2E}"/>
              </c:ext>
            </c:extLst>
          </c:dPt>
          <c:dPt>
            <c:idx val="2"/>
            <c:bubble3D val="0"/>
            <c:spPr>
              <a:gradFill>
                <a:gsLst>
                  <a:gs pos="0">
                    <a:schemeClr val="tx1">
                      <a:lumMod val="65000"/>
                      <a:lumOff val="35000"/>
                    </a:schemeClr>
                  </a:gs>
                  <a:gs pos="100000">
                    <a:schemeClr val="tx1">
                      <a:lumMod val="65000"/>
                      <a:lumOff val="35000"/>
                    </a:schemeClr>
                  </a:gs>
                </a:gsLst>
                <a:lin ang="5400000" scaled="1"/>
              </a:gradFill>
              <a:ln w="12700">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5C44-488D-8B1A-5E915CC67E2E}"/>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4-488D-8B1A-5E915CC67E2E}"/>
                </c:ext>
              </c:extLst>
            </c:dLbl>
            <c:dLbl>
              <c:idx val="1"/>
              <c:layout>
                <c:manualLayout>
                  <c:x val="9.2016615603546046E-3"/>
                  <c:y val="-4.23203490540102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4-488D-8B1A-5E915CC67E2E}"/>
                </c:ext>
              </c:extLst>
            </c:dLbl>
            <c:dLbl>
              <c:idx val="2"/>
              <c:layout>
                <c:manualLayout>
                  <c:x val="9.5808073187936427E-3"/>
                  <c:y val="-7.031108377132937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4-488D-8B1A-5E915CC67E2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5C44-488D-8B1A-5E915CC67E2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2">
                  <a:lumMod val="75000"/>
                </a:schemeClr>
              </a:gs>
              <a:gs pos="100000">
                <a:schemeClr val="accent2">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100000">
                  <a:schemeClr val="accent2">
                    <a:lumMod val="5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492-4A60-B5D2-6DBF70672D06}"/>
            </c:ext>
          </c:extLst>
        </c:ser>
        <c:dLbls>
          <c:dLblPos val="outEnd"/>
          <c:showLegendKey val="0"/>
          <c:showVal val="1"/>
          <c:showCatName val="0"/>
          <c:showSerName val="0"/>
          <c:showPercent val="0"/>
          <c:showBubbleSize val="0"/>
        </c:dLbls>
        <c:gapWidth val="100"/>
        <c:overlap val="-27"/>
        <c:axId val="1015446624"/>
        <c:axId val="1186550288"/>
      </c:barChart>
      <c:catAx>
        <c:axId val="101544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86550288"/>
        <c:crosses val="autoZero"/>
        <c:auto val="1"/>
        <c:lblAlgn val="ctr"/>
        <c:lblOffset val="100"/>
        <c:noMultiLvlLbl val="0"/>
      </c:catAx>
      <c:valAx>
        <c:axId val="1186550288"/>
        <c:scaling>
          <c:orientation val="minMax"/>
        </c:scaling>
        <c:delete val="1"/>
        <c:axPos val="l"/>
        <c:numFmt formatCode="General" sourceLinked="1"/>
        <c:majorTickMark val="none"/>
        <c:minorTickMark val="none"/>
        <c:tickLblPos val="nextTo"/>
        <c:crossAx val="1015446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ABECC2DF-709E-48D7-B319-9C9F5D89C14A}">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data id="1">
      <cx:strDim type="cat">
        <cx:f>_xlchart.v2.2</cx:f>
      </cx:strDim>
      <cx:numDim type="val">
        <cx:f>_xlchart.v2.4</cx:f>
      </cx:numDim>
    </cx:data>
  </cx:chartData>
  <cx:chart>
    <cx:plotArea>
      <cx:plotAreaRegion>
        <cx:series layoutId="funnel" uniqueId="{B21EAFAF-78A4-4C60-99EA-8AAD9E46BD81}" formatIdx="0">
          <cx:dataLabels>
            <cx:visibility seriesName="0" categoryName="0" value="1"/>
          </cx:dataLabels>
          <cx:dataId val="0"/>
        </cx:series>
        <cx:series layoutId="funnel" hidden="1" uniqueId="{E82D9F06-0B2B-4E8F-981F-BA1F2F6E788B}" formatIdx="1">
          <cx:dataLabels>
            <cx:visibility seriesName="0" categoryName="0" value="1"/>
          </cx:dataLabels>
          <cx:dataId val="1"/>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ABECC2DF-709E-48D7-B319-9C9F5D89C14A}">
          <cx:dataPt idx="2">
            <cx:spPr>
              <a:solidFill>
                <a:srgbClr val="4472C4">
                  <a:lumMod val="75000"/>
                </a:srgbClr>
              </a:solidFill>
            </cx:spPr>
          </cx:dataPt>
          <cx:dataLabels pos="inEnd">
            <cx:txPr>
              <a:bodyPr spcFirstLastPara="1" vertOverflow="ellipsis" horzOverflow="overflow" wrap="square" lIns="0" tIns="0" rIns="0" bIns="0" anchor="ctr" anchorCtr="1"/>
              <a:lstStyle/>
              <a:p>
                <a:pPr algn="ctr" rtl="0">
                  <a:defRPr sz="1050" b="0"/>
                </a:pPr>
                <a:endParaRPr lang="en-US" sz="1050" b="0" i="0" u="none" strike="noStrike" baseline="0">
                  <a:solidFill>
                    <a:srgbClr val="FFFFFF"/>
                  </a:solidFill>
                  <a:latin typeface="Calibri"/>
                  <a:cs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data id="1">
      <cx:strDim type="cat">
        <cx:f>_xlchart.v2.5</cx:f>
      </cx:strDim>
      <cx:numDim type="val">
        <cx:f>_xlchart.v2.7</cx:f>
      </cx:numDim>
    </cx:data>
  </cx:chartData>
  <cx:chart>
    <cx:plotArea>
      <cx:plotAreaRegion>
        <cx:series layoutId="funnel" uniqueId="{B21EAFAF-78A4-4C60-99EA-8AAD9E46BD81}" formatIdx="0">
          <cx:spPr>
            <a:gradFill>
              <a:gsLst>
                <a:gs pos="0">
                  <a:schemeClr val="accent6">
                    <a:lumMod val="50000"/>
                  </a:schemeClr>
                </a:gs>
                <a:gs pos="100000">
                  <a:schemeClr val="accent6">
                    <a:lumMod val="75000"/>
                  </a:schemeClr>
                </a:gs>
              </a:gsLst>
              <a:lin ang="10800000" scaled="0"/>
            </a:gradFill>
          </cx:spPr>
          <cx:data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a:cs typeface="Calibri"/>
                </a:endParaRPr>
              </a:p>
            </cx:txPr>
            <cx:visibility seriesName="0" categoryName="0" value="1"/>
          </cx:dataLabels>
          <cx:dataId val="0"/>
        </cx:series>
        <cx:series layoutId="funnel" hidden="1" uniqueId="{E82D9F06-0B2B-4E8F-981F-BA1F2F6E788B}" formatIdx="1">
          <cx:dataLabels>
            <cx:visibility seriesName="0" categoryName="0" value="1"/>
          </cx:dataLabels>
          <cx:dataId val="1"/>
        </cx:series>
      </cx:plotAreaRegion>
      <cx:axis id="0">
        <cx:catScaling gapWidth="0.0599999987"/>
        <cx:tickLabels/>
        <cx:txPr>
          <a:bodyPr spcFirstLastPara="1" vertOverflow="ellipsis" horzOverflow="overflow" wrap="square" lIns="0" tIns="0" rIns="0" bIns="0" anchor="ctr" anchorCtr="1"/>
          <a:lstStyle/>
          <a:p>
            <a:pPr algn="ctr" rtl="0">
              <a:defRPr sz="1050" b="1"/>
            </a:pPr>
            <a:endParaRPr lang="en-US" sz="1050" b="1" i="0" u="none" strike="noStrike" baseline="0">
              <a:solidFill>
                <a:srgbClr val="000000">
                  <a:lumMod val="65000"/>
                  <a:lumOff val="35000"/>
                </a:srgbClr>
              </a:solidFill>
              <a:latin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1.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chart" Target="../charts/chart7.xml"/><Relationship Id="rId6" Type="http://schemas.openxmlformats.org/officeDocument/2006/relationships/image" Target="../media/image5.png"/><Relationship Id="rId11" Type="http://schemas.openxmlformats.org/officeDocument/2006/relationships/chart" Target="../charts/chart10.xml"/><Relationship Id="rId5" Type="http://schemas.openxmlformats.org/officeDocument/2006/relationships/image" Target="../media/image4.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3.png"/><Relationship Id="rId9" Type="http://schemas.openxmlformats.org/officeDocument/2006/relationships/chart" Target="../charts/chart8.xml"/><Relationship Id="rId14"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600075</xdr:colOff>
      <xdr:row>5</xdr:row>
      <xdr:rowOff>28575</xdr:rowOff>
    </xdr:from>
    <xdr:to>
      <xdr:col>10</xdr:col>
      <xdr:colOff>371475</xdr:colOff>
      <xdr:row>9</xdr:row>
      <xdr:rowOff>180975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B29DB88B-CAD2-47E8-B13A-F9A4DAD7B17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20100" y="1028700"/>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276225</xdr:colOff>
      <xdr:row>12</xdr:row>
      <xdr:rowOff>123825</xdr:rowOff>
    </xdr:from>
    <xdr:to>
      <xdr:col>11</xdr:col>
      <xdr:colOff>647700</xdr:colOff>
      <xdr:row>13</xdr:row>
      <xdr:rowOff>171450</xdr:rowOff>
    </xdr:to>
    <xdr:sp macro="" textlink="">
      <xdr:nvSpPr>
        <xdr:cNvPr id="9" name="Rectangle 8">
          <a:extLst>
            <a:ext uri="{FF2B5EF4-FFF2-40B4-BE49-F238E27FC236}">
              <a16:creationId xmlns:a16="http://schemas.microsoft.com/office/drawing/2014/main" id="{39BFABE3-4719-4B4C-BF85-1D16A704D775}"/>
            </a:ext>
          </a:extLst>
        </xdr:cNvPr>
        <xdr:cNvSpPr/>
      </xdr:nvSpPr>
      <xdr:spPr>
        <a:xfrm>
          <a:off x="7524750" y="2524125"/>
          <a:ext cx="1743075" cy="2476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157162</xdr:colOff>
      <xdr:row>3</xdr:row>
      <xdr:rowOff>190501</xdr:rowOff>
    </xdr:from>
    <xdr:to>
      <xdr:col>6</xdr:col>
      <xdr:colOff>19050</xdr:colOff>
      <xdr:row>8</xdr:row>
      <xdr:rowOff>19050</xdr:rowOff>
    </xdr:to>
    <xdr:graphicFrame macro="">
      <xdr:nvGraphicFramePr>
        <xdr:cNvPr id="2" name="Chart 1">
          <a:extLst>
            <a:ext uri="{FF2B5EF4-FFF2-40B4-BE49-F238E27FC236}">
              <a16:creationId xmlns:a16="http://schemas.microsoft.com/office/drawing/2014/main" id="{3E1E5556-CE4D-4A99-88CC-7F2FE5542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666750</xdr:colOff>
      <xdr:row>3</xdr:row>
      <xdr:rowOff>133350</xdr:rowOff>
    </xdr:from>
    <xdr:to>
      <xdr:col>10</xdr:col>
      <xdr:colOff>438150</xdr:colOff>
      <xdr:row>8</xdr:row>
      <xdr:rowOff>190500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3C32D9D2-BFCB-4A0C-8E4E-CD2C16AEDF5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543675" y="733425"/>
              <a:ext cx="1828800"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157162</xdr:colOff>
      <xdr:row>16</xdr:row>
      <xdr:rowOff>85725</xdr:rowOff>
    </xdr:from>
    <xdr:to>
      <xdr:col>7</xdr:col>
      <xdr:colOff>609600</xdr:colOff>
      <xdr:row>19</xdr:row>
      <xdr:rowOff>133350</xdr:rowOff>
    </xdr:to>
    <xdr:graphicFrame macro="">
      <xdr:nvGraphicFramePr>
        <xdr:cNvPr id="4" name="Chart 3">
          <a:extLst>
            <a:ext uri="{FF2B5EF4-FFF2-40B4-BE49-F238E27FC236}">
              <a16:creationId xmlns:a16="http://schemas.microsoft.com/office/drawing/2014/main" id="{B14670B0-5CFC-4551-B88B-DDE2FF5BF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381000</xdr:colOff>
      <xdr:row>12</xdr:row>
      <xdr:rowOff>100012</xdr:rowOff>
    </xdr:from>
    <xdr:to>
      <xdr:col>10</xdr:col>
      <xdr:colOff>66675</xdr:colOff>
      <xdr:row>13</xdr:row>
      <xdr:rowOff>185737</xdr:rowOff>
    </xdr:to>
    <xdr:sp macro="" textlink="">
      <xdr:nvSpPr>
        <xdr:cNvPr id="5" name="Star: 5 Points 4">
          <a:extLst>
            <a:ext uri="{FF2B5EF4-FFF2-40B4-BE49-F238E27FC236}">
              <a16:creationId xmlns:a16="http://schemas.microsoft.com/office/drawing/2014/main" id="{7D10C963-9F37-4A1A-BEAC-4E32DE4AF1E6}"/>
            </a:ext>
          </a:extLst>
        </xdr:cNvPr>
        <xdr:cNvSpPr/>
      </xdr:nvSpPr>
      <xdr:spPr>
        <a:xfrm>
          <a:off x="7629525" y="2500312"/>
          <a:ext cx="371475" cy="285750"/>
        </a:xfrm>
        <a:prstGeom prst="star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120650</xdr:colOff>
      <xdr:row>12</xdr:row>
      <xdr:rowOff>90487</xdr:rowOff>
    </xdr:from>
    <xdr:to>
      <xdr:col>10</xdr:col>
      <xdr:colOff>492125</xdr:colOff>
      <xdr:row>13</xdr:row>
      <xdr:rowOff>176212</xdr:rowOff>
    </xdr:to>
    <xdr:sp macro="" textlink="">
      <xdr:nvSpPr>
        <xdr:cNvPr id="6" name="Star: 5 Points 5">
          <a:extLst>
            <a:ext uri="{FF2B5EF4-FFF2-40B4-BE49-F238E27FC236}">
              <a16:creationId xmlns:a16="http://schemas.microsoft.com/office/drawing/2014/main" id="{48D55A35-B7A0-4411-9CEA-BE54F035E21D}"/>
            </a:ext>
          </a:extLst>
        </xdr:cNvPr>
        <xdr:cNvSpPr/>
      </xdr:nvSpPr>
      <xdr:spPr>
        <a:xfrm>
          <a:off x="8054975" y="2490787"/>
          <a:ext cx="371475" cy="285750"/>
        </a:xfrm>
        <a:prstGeom prst="star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285750</xdr:colOff>
      <xdr:row>12</xdr:row>
      <xdr:rowOff>100012</xdr:rowOff>
    </xdr:from>
    <xdr:to>
      <xdr:col>11</xdr:col>
      <xdr:colOff>657225</xdr:colOff>
      <xdr:row>13</xdr:row>
      <xdr:rowOff>185737</xdr:rowOff>
    </xdr:to>
    <xdr:sp macro="" textlink="">
      <xdr:nvSpPr>
        <xdr:cNvPr id="7" name="Star: 5 Points 6">
          <a:extLst>
            <a:ext uri="{FF2B5EF4-FFF2-40B4-BE49-F238E27FC236}">
              <a16:creationId xmlns:a16="http://schemas.microsoft.com/office/drawing/2014/main" id="{892FDAAF-7409-49A2-AC88-D5499A7216C2}"/>
            </a:ext>
          </a:extLst>
        </xdr:cNvPr>
        <xdr:cNvSpPr/>
      </xdr:nvSpPr>
      <xdr:spPr>
        <a:xfrm>
          <a:off x="8905875" y="2500312"/>
          <a:ext cx="371475" cy="285750"/>
        </a:xfrm>
        <a:prstGeom prst="star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555625</xdr:colOff>
      <xdr:row>12</xdr:row>
      <xdr:rowOff>100012</xdr:rowOff>
    </xdr:from>
    <xdr:to>
      <xdr:col>11</xdr:col>
      <xdr:colOff>241300</xdr:colOff>
      <xdr:row>13</xdr:row>
      <xdr:rowOff>185737</xdr:rowOff>
    </xdr:to>
    <xdr:sp macro="" textlink="">
      <xdr:nvSpPr>
        <xdr:cNvPr id="8" name="Star: 5 Points 7">
          <a:extLst>
            <a:ext uri="{FF2B5EF4-FFF2-40B4-BE49-F238E27FC236}">
              <a16:creationId xmlns:a16="http://schemas.microsoft.com/office/drawing/2014/main" id="{3819477E-2E34-4DC6-BEE0-565806FA28A0}"/>
            </a:ext>
          </a:extLst>
        </xdr:cNvPr>
        <xdr:cNvSpPr/>
      </xdr:nvSpPr>
      <xdr:spPr>
        <a:xfrm>
          <a:off x="8489950" y="2500312"/>
          <a:ext cx="371475" cy="285750"/>
        </a:xfrm>
        <a:prstGeom prst="star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590550</xdr:colOff>
      <xdr:row>4</xdr:row>
      <xdr:rowOff>152400</xdr:rowOff>
    </xdr:from>
    <xdr:to>
      <xdr:col>13</xdr:col>
      <xdr:colOff>361950</xdr:colOff>
      <xdr:row>17</xdr:row>
      <xdr:rowOff>152400</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DCE298EE-E91A-408C-9B27-EF239B298A7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658225" y="952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523875</xdr:colOff>
      <xdr:row>4</xdr:row>
      <xdr:rowOff>95250</xdr:rowOff>
    </xdr:from>
    <xdr:to>
      <xdr:col>16</xdr:col>
      <xdr:colOff>295275</xdr:colOff>
      <xdr:row>17</xdr:row>
      <xdr:rowOff>95250</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7CE639BB-B7D5-4F65-B014-F02F3F98F2C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648950" y="8953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4762</xdr:colOff>
      <xdr:row>9</xdr:row>
      <xdr:rowOff>76200</xdr:rowOff>
    </xdr:from>
    <xdr:to>
      <xdr:col>7</xdr:col>
      <xdr:colOff>85725</xdr:colOff>
      <xdr:row>18</xdr:row>
      <xdr:rowOff>47625</xdr:rowOff>
    </xdr:to>
    <xdr:graphicFrame macro="">
      <xdr:nvGraphicFramePr>
        <xdr:cNvPr id="4" name="Chart 3">
          <a:extLst>
            <a:ext uri="{FF2B5EF4-FFF2-40B4-BE49-F238E27FC236}">
              <a16:creationId xmlns:a16="http://schemas.microsoft.com/office/drawing/2014/main" id="{778BC10F-6E2B-42ED-BBAF-E23A8F07B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1504950</xdr:colOff>
      <xdr:row>3</xdr:row>
      <xdr:rowOff>190500</xdr:rowOff>
    </xdr:from>
    <xdr:to>
      <xdr:col>8</xdr:col>
      <xdr:colOff>304800</xdr:colOff>
      <xdr:row>17</xdr:row>
      <xdr:rowOff>133350</xdr:rowOff>
    </xdr:to>
    <xdr:graphicFrame macro="">
      <xdr:nvGraphicFramePr>
        <xdr:cNvPr id="2" name="Chart 1">
          <a:extLst>
            <a:ext uri="{FF2B5EF4-FFF2-40B4-BE49-F238E27FC236}">
              <a16:creationId xmlns:a16="http://schemas.microsoft.com/office/drawing/2014/main" id="{2480E3B5-893B-4987-88D0-7D377B2F0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109537</xdr:colOff>
      <xdr:row>0</xdr:row>
      <xdr:rowOff>85725</xdr:rowOff>
    </xdr:from>
    <xdr:to>
      <xdr:col>11</xdr:col>
      <xdr:colOff>566737</xdr:colOff>
      <xdr:row>14</xdr:row>
      <xdr:rowOff>28575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FE1FDE7-BDAF-4F65-AA80-152CA73048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24637" y="857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152400</xdr:colOff>
      <xdr:row>3</xdr:row>
      <xdr:rowOff>190500</xdr:rowOff>
    </xdr:from>
    <xdr:to>
      <xdr:col>8</xdr:col>
      <xdr:colOff>609600</xdr:colOff>
      <xdr:row>17</xdr:row>
      <xdr:rowOff>133350</xdr:rowOff>
    </xdr:to>
    <xdr:graphicFrame macro="">
      <xdr:nvGraphicFramePr>
        <xdr:cNvPr id="2" name="Chart 1">
          <a:extLst>
            <a:ext uri="{FF2B5EF4-FFF2-40B4-BE49-F238E27FC236}">
              <a16:creationId xmlns:a16="http://schemas.microsoft.com/office/drawing/2014/main" id="{E4BCE04D-294D-47F7-9468-B3074F2A1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152400</xdr:colOff>
      <xdr:row>3</xdr:row>
      <xdr:rowOff>190500</xdr:rowOff>
    </xdr:from>
    <xdr:to>
      <xdr:col>8</xdr:col>
      <xdr:colOff>609600</xdr:colOff>
      <xdr:row>17</xdr:row>
      <xdr:rowOff>133350</xdr:rowOff>
    </xdr:to>
    <xdr:graphicFrame macro="">
      <xdr:nvGraphicFramePr>
        <xdr:cNvPr id="2" name="Chart 1">
          <a:extLst>
            <a:ext uri="{FF2B5EF4-FFF2-40B4-BE49-F238E27FC236}">
              <a16:creationId xmlns:a16="http://schemas.microsoft.com/office/drawing/2014/main" id="{0CCF0F1A-B696-4450-A17D-0A6B4DCEE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304800</xdr:colOff>
      <xdr:row>2</xdr:row>
      <xdr:rowOff>19050</xdr:rowOff>
    </xdr:from>
    <xdr:to>
      <xdr:col>10</xdr:col>
      <xdr:colOff>76200</xdr:colOff>
      <xdr:row>15</xdr:row>
      <xdr:rowOff>85725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5E0092C2-6EE3-4BE5-9159-3F4B8E025EB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315075" y="419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304800</xdr:colOff>
      <xdr:row>2</xdr:row>
      <xdr:rowOff>38100</xdr:rowOff>
    </xdr:from>
    <xdr:to>
      <xdr:col>13</xdr:col>
      <xdr:colOff>76200</xdr:colOff>
      <xdr:row>15</xdr:row>
      <xdr:rowOff>104775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6B9938B6-1D3E-400F-AD20-7821DA5CCB3C}"/>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8372475" y="4381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290512</xdr:colOff>
      <xdr:row>3</xdr:row>
      <xdr:rowOff>190500</xdr:rowOff>
    </xdr:from>
    <xdr:to>
      <xdr:col>11</xdr:col>
      <xdr:colOff>61912</xdr:colOff>
      <xdr:row>17</xdr:row>
      <xdr:rowOff>133350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E6599455-8E4C-4621-A909-FDDC24C4C7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76687" y="7905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21</xdr:col>
      <xdr:colOff>381001</xdr:colOff>
      <xdr:row>0</xdr:row>
      <xdr:rowOff>40821</xdr:rowOff>
    </xdr:from>
    <xdr:to>
      <xdr:col>24</xdr:col>
      <xdr:colOff>476250</xdr:colOff>
      <xdr:row>5</xdr:row>
      <xdr:rowOff>40821</xdr:rowOff>
    </xdr:to>
    <xdr:graphicFrame macro="">
      <xdr:nvGraphicFramePr>
        <xdr:cNvPr id="70" name="Chart 69">
          <a:extLst>
            <a:ext uri="{FF2B5EF4-FFF2-40B4-BE49-F238E27FC236}">
              <a16:creationId xmlns:a16="http://schemas.microsoft.com/office/drawing/2014/main" id="{5D01DE75-AB18-443C-B195-FB2A8AAB3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68036</xdr:colOff>
      <xdr:row>0</xdr:row>
      <xdr:rowOff>68036</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2027465" y="68036"/>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1">
                  <a:effectLst/>
                  <a:latin typeface="+mn-lt"/>
                  <a:ea typeface="+mn-ea"/>
                  <a:cs typeface="+mn-cs"/>
                </a:rPr>
                <a:t>Total Employees by Gender</a:t>
              </a:r>
              <a:endParaRPr lang="en-US">
                <a:effectLst/>
              </a:endParaRPr>
            </a:p>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204107</xdr:colOff>
      <xdr:row>5</xdr:row>
      <xdr:rowOff>51709</xdr:rowOff>
    </xdr:from>
    <xdr:to>
      <xdr:col>7</xdr:col>
      <xdr:colOff>68036</xdr:colOff>
      <xdr:row>7</xdr:row>
      <xdr:rowOff>38101</xdr:rowOff>
    </xdr:to>
    <xdr:sp macro="" textlink="">
      <xdr:nvSpPr>
        <xdr:cNvPr id="3" name="TextBox 2">
          <a:extLst>
            <a:ext uri="{FF2B5EF4-FFF2-40B4-BE49-F238E27FC236}">
              <a16:creationId xmlns:a16="http://schemas.microsoft.com/office/drawing/2014/main" id="{2ECED38D-A2E7-44F5-BD1F-70A35B45BEEE}"/>
            </a:ext>
          </a:extLst>
        </xdr:cNvPr>
        <xdr:cNvSpPr txBox="1"/>
      </xdr:nvSpPr>
      <xdr:spPr>
        <a:xfrm>
          <a:off x="2163536" y="1004209"/>
          <a:ext cx="2476500" cy="367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accent2">
                  <a:lumMod val="50000"/>
                </a:schemeClr>
              </a:solidFill>
              <a:latin typeface="Bahnschrift SemiBold" panose="020B0502040204020203" pitchFamily="34" charset="0"/>
            </a:rPr>
            <a:t>Total</a:t>
          </a:r>
          <a:r>
            <a:rPr lang="en-US" sz="1800" b="1" baseline="0">
              <a:solidFill>
                <a:schemeClr val="accent2">
                  <a:lumMod val="50000"/>
                </a:schemeClr>
              </a:solidFill>
              <a:latin typeface="Bahnschrift SemiBold" panose="020B0502040204020203" pitchFamily="34" charset="0"/>
            </a:rPr>
            <a:t> Employees</a:t>
          </a:r>
          <a:endParaRPr lang="en-US" sz="1800" b="0">
            <a:solidFill>
              <a:schemeClr val="accent2">
                <a:lumMod val="50000"/>
              </a:schemeClr>
            </a:solidFill>
            <a:latin typeface="Bahnschrift SemiBold" panose="020B0502040204020203" pitchFamily="34" charset="0"/>
          </a:endParaRPr>
        </a:p>
      </xdr:txBody>
    </xdr:sp>
    <xdr:clientData/>
  </xdr:twoCellAnchor>
  <xdr:twoCellAnchor>
    <xdr:from>
      <xdr:col>4</xdr:col>
      <xdr:colOff>340179</xdr:colOff>
      <xdr:row>7</xdr:row>
      <xdr:rowOff>111578</xdr:rowOff>
    </xdr:from>
    <xdr:to>
      <xdr:col>6</xdr:col>
      <xdr:colOff>285750</xdr:colOff>
      <xdr:row>10</xdr:row>
      <xdr:rowOff>29935</xdr:rowOff>
    </xdr:to>
    <xdr:sp macro="" textlink="KPI!A8">
      <xdr:nvSpPr>
        <xdr:cNvPr id="5" name="TextBox 4">
          <a:extLst>
            <a:ext uri="{FF2B5EF4-FFF2-40B4-BE49-F238E27FC236}">
              <a16:creationId xmlns:a16="http://schemas.microsoft.com/office/drawing/2014/main" id="{CC80125A-F46E-4C97-91C2-7D6587CB1B0A}"/>
            </a:ext>
          </a:extLst>
        </xdr:cNvPr>
        <xdr:cNvSpPr txBox="1"/>
      </xdr:nvSpPr>
      <xdr:spPr>
        <a:xfrm>
          <a:off x="2952750" y="1445078"/>
          <a:ext cx="1251857"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93B5AE-805A-4A56-98CB-933D00CCFB05}" type="TxLink">
            <a:rPr lang="en-US" sz="2000" b="0" i="0" u="none" strike="noStrike">
              <a:solidFill>
                <a:srgbClr val="002060"/>
              </a:solidFill>
              <a:latin typeface="Bahnschrift SemiBold" panose="020B0502040204020203" pitchFamily="34" charset="0"/>
              <a:cs typeface="Calibri"/>
            </a:rPr>
            <a:pPr/>
            <a:t>1470</a:t>
          </a:fld>
          <a:endParaRPr lang="en-US" sz="1800" b="0">
            <a:solidFill>
              <a:srgbClr val="002060"/>
            </a:solidFill>
            <a:latin typeface="Bahnschrift SemiBold" panose="020B0502040204020203" pitchFamily="34" charset="0"/>
          </a:endParaRPr>
        </a:p>
      </xdr:txBody>
    </xdr:sp>
    <xdr:clientData/>
  </xdr:twoCellAnchor>
  <xdr:twoCellAnchor>
    <xdr:from>
      <xdr:col>7</xdr:col>
      <xdr:colOff>519793</xdr:colOff>
      <xdr:row>5</xdr:row>
      <xdr:rowOff>51709</xdr:rowOff>
    </xdr:from>
    <xdr:to>
      <xdr:col>11</xdr:col>
      <xdr:colOff>383722</xdr:colOff>
      <xdr:row>6</xdr:row>
      <xdr:rowOff>146958</xdr:rowOff>
    </xdr:to>
    <xdr:sp macro="" textlink="">
      <xdr:nvSpPr>
        <xdr:cNvPr id="54" name="TextBox 53">
          <a:extLst>
            <a:ext uri="{FF2B5EF4-FFF2-40B4-BE49-F238E27FC236}">
              <a16:creationId xmlns:a16="http://schemas.microsoft.com/office/drawing/2014/main" id="{69FCF92B-14D4-450C-B9A0-08F68FF5D306}"/>
            </a:ext>
          </a:extLst>
        </xdr:cNvPr>
        <xdr:cNvSpPr txBox="1"/>
      </xdr:nvSpPr>
      <xdr:spPr>
        <a:xfrm>
          <a:off x="5091793" y="1004209"/>
          <a:ext cx="247650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accent2">
                  <a:lumMod val="50000"/>
                </a:schemeClr>
              </a:solidFill>
              <a:latin typeface="Bahnschrift SemiBold" panose="020B0502040204020203" pitchFamily="34" charset="0"/>
            </a:rPr>
            <a:t>Attrition</a:t>
          </a:r>
          <a:endParaRPr lang="en-US" sz="1800" b="0">
            <a:solidFill>
              <a:schemeClr val="accent2">
                <a:lumMod val="50000"/>
              </a:schemeClr>
            </a:solidFill>
            <a:latin typeface="Bahnschrift SemiBold" panose="020B0502040204020203" pitchFamily="34" charset="0"/>
          </a:endParaRPr>
        </a:p>
      </xdr:txBody>
    </xdr:sp>
    <xdr:clientData/>
  </xdr:twoCellAnchor>
  <xdr:twoCellAnchor>
    <xdr:from>
      <xdr:col>13</xdr:col>
      <xdr:colOff>16328</xdr:colOff>
      <xdr:row>7</xdr:row>
      <xdr:rowOff>111578</xdr:rowOff>
    </xdr:from>
    <xdr:to>
      <xdr:col>14</xdr:col>
      <xdr:colOff>615042</xdr:colOff>
      <xdr:row>10</xdr:row>
      <xdr:rowOff>29935</xdr:rowOff>
    </xdr:to>
    <xdr:sp macro="" textlink="KPI!D8">
      <xdr:nvSpPr>
        <xdr:cNvPr id="55" name="TextBox 54">
          <a:extLst>
            <a:ext uri="{FF2B5EF4-FFF2-40B4-BE49-F238E27FC236}">
              <a16:creationId xmlns:a16="http://schemas.microsoft.com/office/drawing/2014/main" id="{47155B34-0355-4DF6-A4F9-08D9287274D6}"/>
            </a:ext>
          </a:extLst>
        </xdr:cNvPr>
        <xdr:cNvSpPr txBox="1"/>
      </xdr:nvSpPr>
      <xdr:spPr>
        <a:xfrm>
          <a:off x="8507185" y="1445078"/>
          <a:ext cx="1251857"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042D20B-DE06-450C-9DC6-A90AE47E4F49}" type="TxLink">
            <a:rPr lang="en-US" sz="2000" b="0" i="0" u="none" strike="noStrike">
              <a:solidFill>
                <a:srgbClr val="002060"/>
              </a:solidFill>
              <a:latin typeface="Bahnschrift SemiBold" panose="020B0502040204020203" pitchFamily="34" charset="0"/>
              <a:ea typeface="+mn-ea"/>
              <a:cs typeface="Calibri"/>
            </a:rPr>
            <a:pPr marL="0" indent="0" algn="ctr"/>
            <a:t>1233</a:t>
          </a:fld>
          <a:endParaRPr lang="en-US" sz="2000" b="0" i="0" u="none" strike="noStrike">
            <a:solidFill>
              <a:srgbClr val="002060"/>
            </a:solidFill>
            <a:latin typeface="Bahnschrift SemiBold" panose="020B0502040204020203" pitchFamily="34" charset="0"/>
            <a:ea typeface="+mn-ea"/>
            <a:cs typeface="Calibri"/>
          </a:endParaRPr>
        </a:p>
      </xdr:txBody>
    </xdr:sp>
    <xdr:clientData/>
  </xdr:twoCellAnchor>
  <xdr:twoCellAnchor>
    <xdr:from>
      <xdr:col>12</xdr:col>
      <xdr:colOff>59871</xdr:colOff>
      <xdr:row>5</xdr:row>
      <xdr:rowOff>51709</xdr:rowOff>
    </xdr:from>
    <xdr:to>
      <xdr:col>15</xdr:col>
      <xdr:colOff>576942</xdr:colOff>
      <xdr:row>6</xdr:row>
      <xdr:rowOff>146958</xdr:rowOff>
    </xdr:to>
    <xdr:sp macro="" textlink="">
      <xdr:nvSpPr>
        <xdr:cNvPr id="56" name="TextBox 55">
          <a:extLst>
            <a:ext uri="{FF2B5EF4-FFF2-40B4-BE49-F238E27FC236}">
              <a16:creationId xmlns:a16="http://schemas.microsoft.com/office/drawing/2014/main" id="{FB669AC6-C5D9-4FEA-8B9A-777EED57BCA3}"/>
            </a:ext>
          </a:extLst>
        </xdr:cNvPr>
        <xdr:cNvSpPr txBox="1"/>
      </xdr:nvSpPr>
      <xdr:spPr>
        <a:xfrm>
          <a:off x="7897585" y="1004209"/>
          <a:ext cx="247650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2">
                  <a:lumMod val="50000"/>
                </a:schemeClr>
              </a:solidFill>
              <a:latin typeface="Bahnschrift SemiBold" panose="020B0502040204020203" pitchFamily="34" charset="0"/>
            </a:rPr>
            <a:t>Active</a:t>
          </a:r>
          <a:r>
            <a:rPr lang="en-US" sz="1800" b="1" baseline="0">
              <a:solidFill>
                <a:schemeClr val="accent2">
                  <a:lumMod val="50000"/>
                </a:schemeClr>
              </a:solidFill>
              <a:latin typeface="Bahnschrift SemiBold" panose="020B0502040204020203" pitchFamily="34" charset="0"/>
            </a:rPr>
            <a:t> Employees</a:t>
          </a:r>
          <a:endParaRPr lang="en-US" sz="1800" b="0">
            <a:solidFill>
              <a:schemeClr val="accent2">
                <a:lumMod val="50000"/>
              </a:schemeClr>
            </a:solidFill>
            <a:latin typeface="Bahnschrift SemiBold" panose="020B0502040204020203" pitchFamily="34" charset="0"/>
          </a:endParaRPr>
        </a:p>
      </xdr:txBody>
    </xdr:sp>
    <xdr:clientData/>
  </xdr:twoCellAnchor>
  <xdr:twoCellAnchor>
    <xdr:from>
      <xdr:col>8</xdr:col>
      <xdr:colOff>454478</xdr:colOff>
      <xdr:row>7</xdr:row>
      <xdr:rowOff>111578</xdr:rowOff>
    </xdr:from>
    <xdr:to>
      <xdr:col>10</xdr:col>
      <xdr:colOff>400049</xdr:colOff>
      <xdr:row>10</xdr:row>
      <xdr:rowOff>29935</xdr:rowOff>
    </xdr:to>
    <xdr:sp macro="" textlink="KPI!B8">
      <xdr:nvSpPr>
        <xdr:cNvPr id="57" name="TextBox 56">
          <a:extLst>
            <a:ext uri="{FF2B5EF4-FFF2-40B4-BE49-F238E27FC236}">
              <a16:creationId xmlns:a16="http://schemas.microsoft.com/office/drawing/2014/main" id="{996E8CD4-D277-4F7A-83D0-B134817BD7D3}"/>
            </a:ext>
          </a:extLst>
        </xdr:cNvPr>
        <xdr:cNvSpPr txBox="1"/>
      </xdr:nvSpPr>
      <xdr:spPr>
        <a:xfrm>
          <a:off x="5679621" y="1445078"/>
          <a:ext cx="1251857"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6E9C2AA-A246-4FE1-9941-579B8631CE29}" type="TxLink">
            <a:rPr lang="en-US" sz="2000" b="0" i="0" u="none" strike="noStrike">
              <a:solidFill>
                <a:srgbClr val="002060"/>
              </a:solidFill>
              <a:latin typeface="Bahnschrift SemiBold" panose="020B0502040204020203" pitchFamily="34" charset="0"/>
              <a:ea typeface="+mn-ea"/>
              <a:cs typeface="Calibri"/>
            </a:rPr>
            <a:pPr marL="0" indent="0" algn="ctr"/>
            <a:t>237</a:t>
          </a:fld>
          <a:endParaRPr lang="en-US" sz="2000" b="0" i="0" u="none" strike="noStrike">
            <a:solidFill>
              <a:srgbClr val="002060"/>
            </a:solidFill>
            <a:latin typeface="Bahnschrift SemiBold" panose="020B0502040204020203" pitchFamily="34" charset="0"/>
            <a:ea typeface="+mn-ea"/>
            <a:cs typeface="Calibri"/>
          </a:endParaRPr>
        </a:p>
      </xdr:txBody>
    </xdr:sp>
    <xdr:clientData/>
  </xdr:twoCellAnchor>
  <xdr:twoCellAnchor>
    <xdr:from>
      <xdr:col>17</xdr:col>
      <xdr:colOff>35378</xdr:colOff>
      <xdr:row>5</xdr:row>
      <xdr:rowOff>51709</xdr:rowOff>
    </xdr:from>
    <xdr:to>
      <xdr:col>20</xdr:col>
      <xdr:colOff>552450</xdr:colOff>
      <xdr:row>6</xdr:row>
      <xdr:rowOff>146958</xdr:rowOff>
    </xdr:to>
    <xdr:sp macro="" textlink="">
      <xdr:nvSpPr>
        <xdr:cNvPr id="58" name="TextBox 57">
          <a:extLst>
            <a:ext uri="{FF2B5EF4-FFF2-40B4-BE49-F238E27FC236}">
              <a16:creationId xmlns:a16="http://schemas.microsoft.com/office/drawing/2014/main" id="{75A99C0B-E694-4863-BB77-B43AFC19FAE6}"/>
            </a:ext>
          </a:extLst>
        </xdr:cNvPr>
        <xdr:cNvSpPr txBox="1"/>
      </xdr:nvSpPr>
      <xdr:spPr>
        <a:xfrm>
          <a:off x="11138807" y="1004209"/>
          <a:ext cx="247650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accent2">
                  <a:lumMod val="50000"/>
                </a:schemeClr>
              </a:solidFill>
              <a:latin typeface="Bahnschrift SemiBold" panose="020B0502040204020203" pitchFamily="34" charset="0"/>
            </a:rPr>
            <a:t>Attrition Rate</a:t>
          </a:r>
          <a:endParaRPr lang="en-US" sz="1800" b="0">
            <a:solidFill>
              <a:schemeClr val="accent2">
                <a:lumMod val="50000"/>
              </a:schemeClr>
            </a:solidFill>
            <a:latin typeface="Bahnschrift SemiBold" panose="020B0502040204020203" pitchFamily="34" charset="0"/>
          </a:endParaRPr>
        </a:p>
      </xdr:txBody>
    </xdr:sp>
    <xdr:clientData/>
  </xdr:twoCellAnchor>
  <xdr:twoCellAnchor>
    <xdr:from>
      <xdr:col>17</xdr:col>
      <xdr:colOff>634092</xdr:colOff>
      <xdr:row>7</xdr:row>
      <xdr:rowOff>111578</xdr:rowOff>
    </xdr:from>
    <xdr:to>
      <xdr:col>19</xdr:col>
      <xdr:colOff>579664</xdr:colOff>
      <xdr:row>10</xdr:row>
      <xdr:rowOff>29935</xdr:rowOff>
    </xdr:to>
    <xdr:sp macro="" textlink="KPI!E8">
      <xdr:nvSpPr>
        <xdr:cNvPr id="59" name="TextBox 58">
          <a:extLst>
            <a:ext uri="{FF2B5EF4-FFF2-40B4-BE49-F238E27FC236}">
              <a16:creationId xmlns:a16="http://schemas.microsoft.com/office/drawing/2014/main" id="{3400D255-460E-4CE3-B042-3B407F2BE5B4}"/>
            </a:ext>
          </a:extLst>
        </xdr:cNvPr>
        <xdr:cNvSpPr txBox="1"/>
      </xdr:nvSpPr>
      <xdr:spPr>
        <a:xfrm>
          <a:off x="11737521" y="1445078"/>
          <a:ext cx="1251857"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2C1486E-03D6-4730-89C4-6ED0760A7C8C}" type="TxLink">
            <a:rPr lang="en-US" sz="2000" b="0" i="0" u="none" strike="noStrike">
              <a:solidFill>
                <a:srgbClr val="002060"/>
              </a:solidFill>
              <a:latin typeface="Bahnschrift SemiBold" panose="020B0502040204020203" pitchFamily="34" charset="0"/>
              <a:ea typeface="+mn-ea"/>
              <a:cs typeface="Calibri"/>
            </a:rPr>
            <a:pPr marL="0" indent="0" algn="ctr"/>
            <a:t>16.12%</a:t>
          </a:fld>
          <a:endParaRPr lang="en-US" sz="2000" b="0" i="0" u="none" strike="noStrike">
            <a:solidFill>
              <a:srgbClr val="002060"/>
            </a:solidFill>
            <a:latin typeface="Bahnschrift SemiBold" panose="020B0502040204020203" pitchFamily="34" charset="0"/>
            <a:ea typeface="+mn-ea"/>
            <a:cs typeface="Calibri"/>
          </a:endParaRPr>
        </a:p>
      </xdr:txBody>
    </xdr:sp>
    <xdr:clientData/>
  </xdr:twoCellAnchor>
  <xdr:twoCellAnchor>
    <xdr:from>
      <xdr:col>21</xdr:col>
      <xdr:colOff>337457</xdr:colOff>
      <xdr:row>5</xdr:row>
      <xdr:rowOff>51709</xdr:rowOff>
    </xdr:from>
    <xdr:to>
      <xdr:col>25</xdr:col>
      <xdr:colOff>201386</xdr:colOff>
      <xdr:row>7</xdr:row>
      <xdr:rowOff>68036</xdr:rowOff>
    </xdr:to>
    <xdr:sp macro="" textlink="">
      <xdr:nvSpPr>
        <xdr:cNvPr id="60" name="TextBox 59">
          <a:extLst>
            <a:ext uri="{FF2B5EF4-FFF2-40B4-BE49-F238E27FC236}">
              <a16:creationId xmlns:a16="http://schemas.microsoft.com/office/drawing/2014/main" id="{0E0E773E-2554-4EB8-BFA2-D5F7A14244B9}"/>
            </a:ext>
          </a:extLst>
        </xdr:cNvPr>
        <xdr:cNvSpPr txBox="1"/>
      </xdr:nvSpPr>
      <xdr:spPr>
        <a:xfrm>
          <a:off x="14053457" y="1004209"/>
          <a:ext cx="2476500" cy="397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accent2">
                  <a:lumMod val="50000"/>
                </a:schemeClr>
              </a:solidFill>
              <a:latin typeface="Bahnschrift SemiBold" panose="020B0502040204020203" pitchFamily="34" charset="0"/>
            </a:rPr>
            <a:t>Average</a:t>
          </a:r>
          <a:r>
            <a:rPr lang="en-US" sz="1800" b="1" baseline="0">
              <a:solidFill>
                <a:schemeClr val="accent2">
                  <a:lumMod val="50000"/>
                </a:schemeClr>
              </a:solidFill>
              <a:latin typeface="Bahnschrift SemiBold" panose="020B0502040204020203" pitchFamily="34" charset="0"/>
            </a:rPr>
            <a:t> Age</a:t>
          </a:r>
          <a:endParaRPr lang="en-US" sz="1800" b="0">
            <a:solidFill>
              <a:schemeClr val="accent2">
                <a:lumMod val="50000"/>
              </a:schemeClr>
            </a:solidFill>
            <a:latin typeface="Bahnschrift SemiBold" panose="020B0502040204020203" pitchFamily="34" charset="0"/>
          </a:endParaRPr>
        </a:p>
      </xdr:txBody>
    </xdr:sp>
    <xdr:clientData/>
  </xdr:twoCellAnchor>
  <xdr:twoCellAnchor>
    <xdr:from>
      <xdr:col>22</xdr:col>
      <xdr:colOff>391884</xdr:colOff>
      <xdr:row>7</xdr:row>
      <xdr:rowOff>111578</xdr:rowOff>
    </xdr:from>
    <xdr:to>
      <xdr:col>24</xdr:col>
      <xdr:colOff>337455</xdr:colOff>
      <xdr:row>10</xdr:row>
      <xdr:rowOff>29935</xdr:rowOff>
    </xdr:to>
    <xdr:sp macro="" textlink="KPI!C8">
      <xdr:nvSpPr>
        <xdr:cNvPr id="61" name="TextBox 60">
          <a:extLst>
            <a:ext uri="{FF2B5EF4-FFF2-40B4-BE49-F238E27FC236}">
              <a16:creationId xmlns:a16="http://schemas.microsoft.com/office/drawing/2014/main" id="{15448FD0-8E14-4C61-8A23-6D94FE46DB3B}"/>
            </a:ext>
          </a:extLst>
        </xdr:cNvPr>
        <xdr:cNvSpPr txBox="1"/>
      </xdr:nvSpPr>
      <xdr:spPr>
        <a:xfrm>
          <a:off x="14761027" y="1445078"/>
          <a:ext cx="1251857"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96EE4CB-D4E4-4E02-A083-7901A81BC0D0}" type="TxLink">
            <a:rPr lang="en-US" sz="2000" b="0" i="0" u="none" strike="noStrike">
              <a:solidFill>
                <a:srgbClr val="002060"/>
              </a:solidFill>
              <a:latin typeface="Bahnschrift SemiBold" panose="020B0502040204020203" pitchFamily="34" charset="0"/>
              <a:ea typeface="+mn-ea"/>
              <a:cs typeface="Calibri"/>
            </a:rPr>
            <a:pPr marL="0" indent="0" algn="ctr"/>
            <a:t>37</a:t>
          </a:fld>
          <a:endParaRPr lang="en-US" sz="2000" b="0" i="0" u="none" strike="noStrike">
            <a:solidFill>
              <a:srgbClr val="002060"/>
            </a:solidFill>
            <a:latin typeface="Bahnschrift SemiBold" panose="020B0502040204020203" pitchFamily="34" charset="0"/>
            <a:ea typeface="+mn-ea"/>
            <a:cs typeface="Calibri"/>
          </a:endParaRPr>
        </a:p>
      </xdr:txBody>
    </xdr:sp>
    <xdr:clientData/>
  </xdr:twoCellAnchor>
  <xdr:oneCellAnchor>
    <xdr:from>
      <xdr:col>6</xdr:col>
      <xdr:colOff>544286</xdr:colOff>
      <xdr:row>5</xdr:row>
      <xdr:rowOff>149679</xdr:rowOff>
    </xdr:from>
    <xdr:ext cx="333375" cy="314325"/>
    <xdr:pic>
      <xdr:nvPicPr>
        <xdr:cNvPr id="62" name="image4.png">
          <a:extLst>
            <a:ext uri="{FF2B5EF4-FFF2-40B4-BE49-F238E27FC236}">
              <a16:creationId xmlns:a16="http://schemas.microsoft.com/office/drawing/2014/main" id="{FA48137B-CC3A-4ED2-B343-CC425F89C0A1}"/>
            </a:ext>
          </a:extLst>
        </xdr:cNvPr>
        <xdr:cNvPicPr preferRelativeResize="0"/>
      </xdr:nvPicPr>
      <xdr:blipFill>
        <a:blip xmlns:r="http://schemas.openxmlformats.org/officeDocument/2006/relationships" r:embed="rId2" cstate="print"/>
        <a:stretch>
          <a:fillRect/>
        </a:stretch>
      </xdr:blipFill>
      <xdr:spPr>
        <a:xfrm>
          <a:off x="4463143" y="1102179"/>
          <a:ext cx="333375" cy="314325"/>
        </a:xfrm>
        <a:prstGeom prst="rect">
          <a:avLst/>
        </a:prstGeom>
        <a:noFill/>
      </xdr:spPr>
    </xdr:pic>
    <xdr:clientData fLocksWithSheet="0"/>
  </xdr:oneCellAnchor>
  <xdr:oneCellAnchor>
    <xdr:from>
      <xdr:col>15</xdr:col>
      <xdr:colOff>476251</xdr:colOff>
      <xdr:row>5</xdr:row>
      <xdr:rowOff>122465</xdr:rowOff>
    </xdr:from>
    <xdr:ext cx="419100" cy="304800"/>
    <xdr:pic>
      <xdr:nvPicPr>
        <xdr:cNvPr id="63" name="image5.png">
          <a:extLst>
            <a:ext uri="{FF2B5EF4-FFF2-40B4-BE49-F238E27FC236}">
              <a16:creationId xmlns:a16="http://schemas.microsoft.com/office/drawing/2014/main" id="{3C3BF913-B82F-48AE-A671-1DB4450B6252}"/>
            </a:ext>
          </a:extLst>
        </xdr:cNvPr>
        <xdr:cNvPicPr preferRelativeResize="0"/>
      </xdr:nvPicPr>
      <xdr:blipFill>
        <a:blip xmlns:r="http://schemas.openxmlformats.org/officeDocument/2006/relationships" r:embed="rId3" cstate="print"/>
        <a:stretch>
          <a:fillRect/>
        </a:stretch>
      </xdr:blipFill>
      <xdr:spPr>
        <a:xfrm>
          <a:off x="10273394" y="1074965"/>
          <a:ext cx="419100" cy="304800"/>
        </a:xfrm>
        <a:prstGeom prst="rect">
          <a:avLst/>
        </a:prstGeom>
        <a:noFill/>
      </xdr:spPr>
    </xdr:pic>
    <xdr:clientData fLocksWithSheet="0"/>
  </xdr:oneCellAnchor>
  <xdr:oneCellAnchor>
    <xdr:from>
      <xdr:col>20</xdr:col>
      <xdr:colOff>258537</xdr:colOff>
      <xdr:row>5</xdr:row>
      <xdr:rowOff>163287</xdr:rowOff>
    </xdr:from>
    <xdr:ext cx="390525" cy="314325"/>
    <xdr:pic>
      <xdr:nvPicPr>
        <xdr:cNvPr id="64" name="image2.png">
          <a:extLst>
            <a:ext uri="{FF2B5EF4-FFF2-40B4-BE49-F238E27FC236}">
              <a16:creationId xmlns:a16="http://schemas.microsoft.com/office/drawing/2014/main" id="{DCE46665-6CE3-4C8E-9B19-14FC1EC49B17}"/>
            </a:ext>
          </a:extLst>
        </xdr:cNvPr>
        <xdr:cNvPicPr preferRelativeResize="0"/>
      </xdr:nvPicPr>
      <xdr:blipFill>
        <a:blip xmlns:r="http://schemas.openxmlformats.org/officeDocument/2006/relationships" r:embed="rId4" cstate="print"/>
        <a:stretch>
          <a:fillRect/>
        </a:stretch>
      </xdr:blipFill>
      <xdr:spPr>
        <a:xfrm>
          <a:off x="13321394" y="1115787"/>
          <a:ext cx="390525" cy="314325"/>
        </a:xfrm>
        <a:prstGeom prst="rect">
          <a:avLst/>
        </a:prstGeom>
        <a:noFill/>
      </xdr:spPr>
    </xdr:pic>
    <xdr:clientData fLocksWithSheet="0"/>
  </xdr:oneCellAnchor>
  <xdr:oneCellAnchor>
    <xdr:from>
      <xdr:col>24</xdr:col>
      <xdr:colOff>585107</xdr:colOff>
      <xdr:row>5</xdr:row>
      <xdr:rowOff>149678</xdr:rowOff>
    </xdr:from>
    <xdr:ext cx="295275" cy="266700"/>
    <xdr:pic>
      <xdr:nvPicPr>
        <xdr:cNvPr id="65" name="image6.png">
          <a:extLst>
            <a:ext uri="{FF2B5EF4-FFF2-40B4-BE49-F238E27FC236}">
              <a16:creationId xmlns:a16="http://schemas.microsoft.com/office/drawing/2014/main" id="{23C930AB-5FC3-4CE2-817B-FC7D1D37CB79}"/>
            </a:ext>
          </a:extLst>
        </xdr:cNvPr>
        <xdr:cNvPicPr preferRelativeResize="0"/>
      </xdr:nvPicPr>
      <xdr:blipFill>
        <a:blip xmlns:r="http://schemas.openxmlformats.org/officeDocument/2006/relationships" r:embed="rId5" cstate="print"/>
        <a:stretch>
          <a:fillRect/>
        </a:stretch>
      </xdr:blipFill>
      <xdr:spPr>
        <a:xfrm>
          <a:off x="16260536" y="1102178"/>
          <a:ext cx="295275" cy="266700"/>
        </a:xfrm>
        <a:prstGeom prst="rect">
          <a:avLst/>
        </a:prstGeom>
        <a:noFill/>
      </xdr:spPr>
    </xdr:pic>
    <xdr:clientData fLocksWithSheet="0"/>
  </xdr:oneCellAnchor>
  <xdr:oneCellAnchor>
    <xdr:from>
      <xdr:col>11</xdr:col>
      <xdr:colOff>54431</xdr:colOff>
      <xdr:row>5</xdr:row>
      <xdr:rowOff>122465</xdr:rowOff>
    </xdr:from>
    <xdr:ext cx="503464" cy="353786"/>
    <xdr:pic>
      <xdr:nvPicPr>
        <xdr:cNvPr id="66" name="image7.png">
          <a:extLst>
            <a:ext uri="{FF2B5EF4-FFF2-40B4-BE49-F238E27FC236}">
              <a16:creationId xmlns:a16="http://schemas.microsoft.com/office/drawing/2014/main" id="{55DFEB80-C69D-4FDE-9F65-258147565303}"/>
            </a:ext>
          </a:extLst>
        </xdr:cNvPr>
        <xdr:cNvPicPr preferRelativeResize="0"/>
      </xdr:nvPicPr>
      <xdr:blipFill>
        <a:blip xmlns:r="http://schemas.openxmlformats.org/officeDocument/2006/relationships" r:embed="rId6" cstate="print"/>
        <a:stretch>
          <a:fillRect/>
        </a:stretch>
      </xdr:blipFill>
      <xdr:spPr>
        <a:xfrm>
          <a:off x="7239002" y="1074965"/>
          <a:ext cx="503464" cy="353786"/>
        </a:xfrm>
        <a:prstGeom prst="rect">
          <a:avLst/>
        </a:prstGeom>
        <a:noFill/>
      </xdr:spPr>
    </xdr:pic>
    <xdr:clientData fLocksWithSheet="0"/>
  </xdr:oneCellAnchor>
  <xdr:twoCellAnchor>
    <xdr:from>
      <xdr:col>2</xdr:col>
      <xdr:colOff>421821</xdr:colOff>
      <xdr:row>0</xdr:row>
      <xdr:rowOff>180295</xdr:rowOff>
    </xdr:from>
    <xdr:to>
      <xdr:col>15</xdr:col>
      <xdr:colOff>598714</xdr:colOff>
      <xdr:row>3</xdr:row>
      <xdr:rowOff>166687</xdr:rowOff>
    </xdr:to>
    <xdr:sp macro="" textlink="">
      <xdr:nvSpPr>
        <xdr:cNvPr id="6" name="TextBox 5">
          <a:extLst>
            <a:ext uri="{FF2B5EF4-FFF2-40B4-BE49-F238E27FC236}">
              <a16:creationId xmlns:a16="http://schemas.microsoft.com/office/drawing/2014/main" id="{30B040E4-B3AF-415A-BFE9-67CDB1CA0C06}"/>
            </a:ext>
          </a:extLst>
        </xdr:cNvPr>
        <xdr:cNvSpPr txBox="1"/>
      </xdr:nvSpPr>
      <xdr:spPr>
        <a:xfrm>
          <a:off x="1728107" y="180295"/>
          <a:ext cx="8667750" cy="55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solidFill>
                <a:schemeClr val="accent1">
                  <a:lumMod val="50000"/>
                </a:schemeClr>
              </a:solidFill>
            </a:rPr>
            <a:t>HR ANALYTICS DASHBOARD</a:t>
          </a:r>
        </a:p>
      </xdr:txBody>
    </xdr:sp>
    <xdr:clientData/>
  </xdr:twoCellAnchor>
  <xdr:oneCellAnchor>
    <xdr:from>
      <xdr:col>3</xdr:col>
      <xdr:colOff>381001</xdr:colOff>
      <xdr:row>1</xdr:row>
      <xdr:rowOff>74840</xdr:rowOff>
    </xdr:from>
    <xdr:ext cx="542925" cy="523875"/>
    <xdr:pic>
      <xdr:nvPicPr>
        <xdr:cNvPr id="67" name="image1.png">
          <a:extLst>
            <a:ext uri="{FF2B5EF4-FFF2-40B4-BE49-F238E27FC236}">
              <a16:creationId xmlns:a16="http://schemas.microsoft.com/office/drawing/2014/main" id="{2D32CF73-B25E-48F4-A20A-26758B1A3512}"/>
            </a:ext>
          </a:extLst>
        </xdr:cNvPr>
        <xdr:cNvPicPr preferRelativeResize="0"/>
      </xdr:nvPicPr>
      <xdr:blipFill>
        <a:blip xmlns:r="http://schemas.openxmlformats.org/officeDocument/2006/relationships" r:embed="rId7" cstate="print"/>
        <a:stretch>
          <a:fillRect/>
        </a:stretch>
      </xdr:blipFill>
      <xdr:spPr>
        <a:xfrm>
          <a:off x="2340430" y="265340"/>
          <a:ext cx="542925" cy="523875"/>
        </a:xfrm>
        <a:prstGeom prst="rect">
          <a:avLst/>
        </a:prstGeom>
        <a:noFill/>
      </xdr:spPr>
    </xdr:pic>
    <xdr:clientData fLocksWithSheet="0"/>
  </xdr:oneCellAnchor>
  <xdr:oneCellAnchor>
    <xdr:from>
      <xdr:col>19</xdr:col>
      <xdr:colOff>2</xdr:colOff>
      <xdr:row>1</xdr:row>
      <xdr:rowOff>66674</xdr:rowOff>
    </xdr:from>
    <xdr:ext cx="723900" cy="628650"/>
    <xdr:pic>
      <xdr:nvPicPr>
        <xdr:cNvPr id="68" name="image3.png">
          <a:extLst>
            <a:ext uri="{FF2B5EF4-FFF2-40B4-BE49-F238E27FC236}">
              <a16:creationId xmlns:a16="http://schemas.microsoft.com/office/drawing/2014/main" id="{9879FD3E-2890-48F7-A799-AA158AAB3128}"/>
            </a:ext>
          </a:extLst>
        </xdr:cNvPr>
        <xdr:cNvPicPr preferRelativeResize="0"/>
      </xdr:nvPicPr>
      <xdr:blipFill>
        <a:blip xmlns:r="http://schemas.openxmlformats.org/officeDocument/2006/relationships" r:embed="rId8" cstate="print"/>
        <a:stretch>
          <a:fillRect/>
        </a:stretch>
      </xdr:blipFill>
      <xdr:spPr>
        <a:xfrm>
          <a:off x="12409716" y="257174"/>
          <a:ext cx="723900" cy="628650"/>
        </a:xfrm>
        <a:prstGeom prst="rect">
          <a:avLst/>
        </a:prstGeom>
        <a:noFill/>
      </xdr:spPr>
    </xdr:pic>
    <xdr:clientData fLocksWithSheet="0"/>
  </xdr:oneCellAnchor>
  <xdr:twoCellAnchor>
    <xdr:from>
      <xdr:col>19</xdr:col>
      <xdr:colOff>544286</xdr:colOff>
      <xdr:row>0</xdr:row>
      <xdr:rowOff>190499</xdr:rowOff>
    </xdr:from>
    <xdr:to>
      <xdr:col>22</xdr:col>
      <xdr:colOff>285750</xdr:colOff>
      <xdr:row>5</xdr:row>
      <xdr:rowOff>0</xdr:rowOff>
    </xdr:to>
    <xdr:sp macro="" textlink="">
      <xdr:nvSpPr>
        <xdr:cNvPr id="7" name="TextBox 6">
          <a:extLst>
            <a:ext uri="{FF2B5EF4-FFF2-40B4-BE49-F238E27FC236}">
              <a16:creationId xmlns:a16="http://schemas.microsoft.com/office/drawing/2014/main" id="{EEEFDE85-3CAC-4EAA-9B33-5F9465896D17}"/>
            </a:ext>
          </a:extLst>
        </xdr:cNvPr>
        <xdr:cNvSpPr txBox="1"/>
      </xdr:nvSpPr>
      <xdr:spPr>
        <a:xfrm>
          <a:off x="12954000" y="190499"/>
          <a:ext cx="1700893" cy="762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2">
                  <a:lumMod val="50000"/>
                </a:schemeClr>
              </a:solidFill>
            </a:rPr>
            <a:t>JOB </a:t>
          </a:r>
        </a:p>
        <a:p>
          <a:pPr algn="ctr"/>
          <a:r>
            <a:rPr lang="en-US" sz="1400" b="1">
              <a:solidFill>
                <a:schemeClr val="accent2">
                  <a:lumMod val="50000"/>
                </a:schemeClr>
              </a:solidFill>
            </a:rPr>
            <a:t>SATISFACTION RATING</a:t>
          </a:r>
        </a:p>
      </xdr:txBody>
    </xdr:sp>
    <xdr:clientData/>
  </xdr:twoCellAnchor>
  <xdr:twoCellAnchor>
    <xdr:from>
      <xdr:col>21</xdr:col>
      <xdr:colOff>503463</xdr:colOff>
      <xdr:row>1</xdr:row>
      <xdr:rowOff>13606</xdr:rowOff>
    </xdr:from>
    <xdr:to>
      <xdr:col>23</xdr:col>
      <xdr:colOff>231320</xdr:colOff>
      <xdr:row>4</xdr:row>
      <xdr:rowOff>176893</xdr:rowOff>
    </xdr:to>
    <xdr:graphicFrame macro="">
      <xdr:nvGraphicFramePr>
        <xdr:cNvPr id="69" name="Chart 68">
          <a:extLst>
            <a:ext uri="{FF2B5EF4-FFF2-40B4-BE49-F238E27FC236}">
              <a16:creationId xmlns:a16="http://schemas.microsoft.com/office/drawing/2014/main" id="{C8CEC458-6D6D-471E-810E-2C3F4D3B9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95249</xdr:colOff>
      <xdr:row>2</xdr:row>
      <xdr:rowOff>34016</xdr:rowOff>
    </xdr:from>
    <xdr:to>
      <xdr:col>22</xdr:col>
      <xdr:colOff>517070</xdr:colOff>
      <xdr:row>3</xdr:row>
      <xdr:rowOff>74838</xdr:rowOff>
    </xdr:to>
    <xdr:sp macro="" textlink="Rating!$B$6">
      <xdr:nvSpPr>
        <xdr:cNvPr id="8" name="TextBox 7">
          <a:extLst>
            <a:ext uri="{FF2B5EF4-FFF2-40B4-BE49-F238E27FC236}">
              <a16:creationId xmlns:a16="http://schemas.microsoft.com/office/drawing/2014/main" id="{7FA3F69A-F1F0-4935-BD5E-026D68C4E577}"/>
            </a:ext>
          </a:extLst>
        </xdr:cNvPr>
        <xdr:cNvSpPr txBox="1"/>
      </xdr:nvSpPr>
      <xdr:spPr>
        <a:xfrm>
          <a:off x="14464392" y="415016"/>
          <a:ext cx="421821" cy="231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E5A96E-55CD-46F4-992B-2E28A4057846}" type="TxLink">
            <a:rPr lang="en-US" sz="1200" b="1" i="0" u="none" strike="noStrike">
              <a:solidFill>
                <a:srgbClr val="002060"/>
              </a:solidFill>
              <a:latin typeface="Calibri"/>
              <a:cs typeface="Calibri"/>
            </a:rPr>
            <a:pPr algn="ctr"/>
            <a:t>2.6</a:t>
          </a:fld>
          <a:endParaRPr lang="en-US" sz="1100" b="1">
            <a:solidFill>
              <a:srgbClr val="002060"/>
            </a:solidFill>
          </a:endParaRPr>
        </a:p>
      </xdr:txBody>
    </xdr:sp>
    <xdr:clientData/>
  </xdr:twoCellAnchor>
  <xdr:twoCellAnchor>
    <xdr:from>
      <xdr:col>3</xdr:col>
      <xdr:colOff>54430</xdr:colOff>
      <xdr:row>17</xdr:row>
      <xdr:rowOff>68036</xdr:rowOff>
    </xdr:from>
    <xdr:to>
      <xdr:col>9</xdr:col>
      <xdr:colOff>517070</xdr:colOff>
      <xdr:row>24</xdr:row>
      <xdr:rowOff>16329</xdr:rowOff>
    </xdr:to>
    <xdr:grpSp>
      <xdr:nvGrpSpPr>
        <xdr:cNvPr id="11" name="Group 10">
          <a:extLst>
            <a:ext uri="{FF2B5EF4-FFF2-40B4-BE49-F238E27FC236}">
              <a16:creationId xmlns:a16="http://schemas.microsoft.com/office/drawing/2014/main" id="{F56DA2C6-3BD2-4DC7-AE20-152D3ED2F68B}"/>
            </a:ext>
          </a:extLst>
        </xdr:cNvPr>
        <xdr:cNvGrpSpPr/>
      </xdr:nvGrpSpPr>
      <xdr:grpSpPr>
        <a:xfrm>
          <a:off x="2013859" y="3306536"/>
          <a:ext cx="4381497" cy="1281793"/>
          <a:chOff x="2013859" y="3306536"/>
          <a:chExt cx="4381497" cy="1281793"/>
        </a:xfrm>
      </xdr:grpSpPr>
      <xdr:graphicFrame macro="">
        <xdr:nvGraphicFramePr>
          <xdr:cNvPr id="84" name="Chart 83">
            <a:extLst>
              <a:ext uri="{FF2B5EF4-FFF2-40B4-BE49-F238E27FC236}">
                <a16:creationId xmlns:a16="http://schemas.microsoft.com/office/drawing/2014/main" id="{8B2CD497-0315-4452-82C4-E487C9BB5CEF}"/>
              </a:ext>
            </a:extLst>
          </xdr:cNvPr>
          <xdr:cNvGraphicFramePr>
            <a:graphicFrameLocks/>
          </xdr:cNvGraphicFramePr>
        </xdr:nvGraphicFramePr>
        <xdr:xfrm>
          <a:off x="2013859" y="3306536"/>
          <a:ext cx="1578428" cy="1281793"/>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85" name="Chart 84">
            <a:extLst>
              <a:ext uri="{FF2B5EF4-FFF2-40B4-BE49-F238E27FC236}">
                <a16:creationId xmlns:a16="http://schemas.microsoft.com/office/drawing/2014/main" id="{C29B1517-8A1D-44D8-AA9A-69DAEDF04B0F}"/>
              </a:ext>
            </a:extLst>
          </xdr:cNvPr>
          <xdr:cNvGraphicFramePr>
            <a:graphicFrameLocks/>
          </xdr:cNvGraphicFramePr>
        </xdr:nvGraphicFramePr>
        <xdr:xfrm>
          <a:off x="4816928" y="3306536"/>
          <a:ext cx="1578428" cy="1281793"/>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10" name="Graphic 9" descr="Male profile">
            <a:extLst>
              <a:ext uri="{FF2B5EF4-FFF2-40B4-BE49-F238E27FC236}">
                <a16:creationId xmlns:a16="http://schemas.microsoft.com/office/drawing/2014/main" id="{298E59F8-88B0-4D5D-A0DC-C2334D8C2CE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4163786" y="3490232"/>
            <a:ext cx="914400" cy="914400"/>
          </a:xfrm>
          <a:prstGeom prst="rect">
            <a:avLst/>
          </a:prstGeom>
        </xdr:spPr>
      </xdr:pic>
      <xdr:pic>
        <xdr:nvPicPr>
          <xdr:cNvPr id="12" name="Graphic 11" descr="Female Profile">
            <a:extLst>
              <a:ext uri="{FF2B5EF4-FFF2-40B4-BE49-F238E27FC236}">
                <a16:creationId xmlns:a16="http://schemas.microsoft.com/office/drawing/2014/main" id="{82100D6B-3C3F-4E7C-B469-465760E7BE6E}"/>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3347356" y="3510482"/>
            <a:ext cx="873901" cy="873901"/>
          </a:xfrm>
          <a:prstGeom prst="rect">
            <a:avLst/>
          </a:prstGeom>
        </xdr:spPr>
      </xdr:pic>
      <xdr:sp macro="" textlink="Gender!B9">
        <xdr:nvSpPr>
          <xdr:cNvPr id="13" name="TextBox 12">
            <a:extLst>
              <a:ext uri="{FF2B5EF4-FFF2-40B4-BE49-F238E27FC236}">
                <a16:creationId xmlns:a16="http://schemas.microsoft.com/office/drawing/2014/main" id="{25DA782F-EA77-418C-94FB-F9DD89AEAC78}"/>
              </a:ext>
            </a:extLst>
          </xdr:cNvPr>
          <xdr:cNvSpPr txBox="1"/>
        </xdr:nvSpPr>
        <xdr:spPr>
          <a:xfrm>
            <a:off x="2476500" y="3777343"/>
            <a:ext cx="557893"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793290-8575-4705-A724-C259C7B24778}" type="TxLink">
              <a:rPr lang="en-US" sz="1800" b="1" i="0" u="none" strike="noStrike">
                <a:solidFill>
                  <a:srgbClr val="002060"/>
                </a:solidFill>
                <a:latin typeface="Calibri"/>
                <a:cs typeface="Calibri"/>
              </a:rPr>
              <a:pPr/>
              <a:t>588</a:t>
            </a:fld>
            <a:endParaRPr lang="en-US" sz="1200"/>
          </a:p>
        </xdr:txBody>
      </xdr:sp>
      <xdr:sp macro="" textlink="Gender!B10">
        <xdr:nvSpPr>
          <xdr:cNvPr id="71" name="TextBox 70">
            <a:extLst>
              <a:ext uri="{FF2B5EF4-FFF2-40B4-BE49-F238E27FC236}">
                <a16:creationId xmlns:a16="http://schemas.microsoft.com/office/drawing/2014/main" id="{9BC4FDDE-43CD-4ECE-BF32-9C72ACA0F757}"/>
              </a:ext>
            </a:extLst>
          </xdr:cNvPr>
          <xdr:cNvSpPr txBox="1"/>
        </xdr:nvSpPr>
        <xdr:spPr>
          <a:xfrm>
            <a:off x="5295900" y="3777343"/>
            <a:ext cx="557893"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8004B1-5833-497E-A0D8-EFB982BBE0BD}" type="TxLink">
              <a:rPr lang="en-US" sz="1800" b="1" i="0" u="none" strike="noStrike">
                <a:solidFill>
                  <a:srgbClr val="002060"/>
                </a:solidFill>
                <a:latin typeface="Calibri"/>
                <a:ea typeface="+mn-ea"/>
                <a:cs typeface="Calibri"/>
              </a:rPr>
              <a:pPr marL="0" indent="0"/>
              <a:t>882</a:t>
            </a:fld>
            <a:endParaRPr lang="en-US" sz="1800" b="1" i="0" u="none" strike="noStrike">
              <a:solidFill>
                <a:srgbClr val="002060"/>
              </a:solidFill>
              <a:latin typeface="Calibri"/>
              <a:ea typeface="+mn-ea"/>
              <a:cs typeface="Calibri"/>
            </a:endParaRPr>
          </a:p>
        </xdr:txBody>
      </xdr:sp>
    </xdr:grpSp>
    <xdr:clientData/>
  </xdr:twoCellAnchor>
  <xdr:twoCellAnchor>
    <xdr:from>
      <xdr:col>3</xdr:col>
      <xdr:colOff>299356</xdr:colOff>
      <xdr:row>11</xdr:row>
      <xdr:rowOff>68037</xdr:rowOff>
    </xdr:from>
    <xdr:to>
      <xdr:col>7</xdr:col>
      <xdr:colOff>68035</xdr:colOff>
      <xdr:row>13</xdr:row>
      <xdr:rowOff>1</xdr:rowOff>
    </xdr:to>
    <xdr:sp macro="" textlink="">
      <xdr:nvSpPr>
        <xdr:cNvPr id="14" name="TextBox 13">
          <a:extLst>
            <a:ext uri="{FF2B5EF4-FFF2-40B4-BE49-F238E27FC236}">
              <a16:creationId xmlns:a16="http://schemas.microsoft.com/office/drawing/2014/main" id="{799F2B21-DB01-4AA4-AA09-E8B3B4C9DE24}"/>
            </a:ext>
          </a:extLst>
        </xdr:cNvPr>
        <xdr:cNvSpPr txBox="1"/>
      </xdr:nvSpPr>
      <xdr:spPr>
        <a:xfrm>
          <a:off x="2258785" y="2163537"/>
          <a:ext cx="2381250"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accent2">
                  <a:lumMod val="50000"/>
                </a:schemeClr>
              </a:solidFill>
            </a:rPr>
            <a:t>Total Employees by Gender</a:t>
          </a:r>
        </a:p>
      </xdr:txBody>
    </xdr:sp>
    <xdr:clientData/>
  </xdr:twoCellAnchor>
  <xdr:twoCellAnchor editAs="oneCell">
    <xdr:from>
      <xdr:col>4</xdr:col>
      <xdr:colOff>517072</xdr:colOff>
      <xdr:row>13</xdr:row>
      <xdr:rowOff>176893</xdr:rowOff>
    </xdr:from>
    <xdr:to>
      <xdr:col>7</xdr:col>
      <xdr:colOff>386443</xdr:colOff>
      <xdr:row>17</xdr:row>
      <xdr:rowOff>54429</xdr:rowOff>
    </xdr:to>
    <mc:AlternateContent xmlns:mc="http://schemas.openxmlformats.org/markup-compatibility/2006" xmlns:a14="http://schemas.microsoft.com/office/drawing/2010/main">
      <mc:Choice Requires="a14">
        <xdr:graphicFrame macro="">
          <xdr:nvGraphicFramePr>
            <xdr:cNvPr id="72" name="Gender 3">
              <a:extLst>
                <a:ext uri="{FF2B5EF4-FFF2-40B4-BE49-F238E27FC236}">
                  <a16:creationId xmlns:a16="http://schemas.microsoft.com/office/drawing/2014/main" id="{058BF857-21EB-4F71-9D8B-92CE97F47D65}"/>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129643" y="2653393"/>
              <a:ext cx="1828800" cy="639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108857</xdr:colOff>
      <xdr:row>12</xdr:row>
      <xdr:rowOff>176894</xdr:rowOff>
    </xdr:from>
    <xdr:to>
      <xdr:col>17</xdr:col>
      <xdr:colOff>489856</xdr:colOff>
      <xdr:row>24</xdr:row>
      <xdr:rowOff>21772</xdr:rowOff>
    </xdr:to>
    <xdr:graphicFrame macro="">
      <xdr:nvGraphicFramePr>
        <xdr:cNvPr id="73" name="Chart 72">
          <a:extLst>
            <a:ext uri="{FF2B5EF4-FFF2-40B4-BE49-F238E27FC236}">
              <a16:creationId xmlns:a16="http://schemas.microsoft.com/office/drawing/2014/main" id="{B8B23526-A9FD-43A0-A743-5182652E1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125185</xdr:colOff>
      <xdr:row>11</xdr:row>
      <xdr:rowOff>16330</xdr:rowOff>
    </xdr:from>
    <xdr:to>
      <xdr:col>13</xdr:col>
      <xdr:colOff>547007</xdr:colOff>
      <xdr:row>12</xdr:row>
      <xdr:rowOff>138794</xdr:rowOff>
    </xdr:to>
    <xdr:sp macro="" textlink="">
      <xdr:nvSpPr>
        <xdr:cNvPr id="74" name="TextBox 73">
          <a:extLst>
            <a:ext uri="{FF2B5EF4-FFF2-40B4-BE49-F238E27FC236}">
              <a16:creationId xmlns:a16="http://schemas.microsoft.com/office/drawing/2014/main" id="{AABC6C55-F845-4321-B1B5-6413730B0062}"/>
            </a:ext>
          </a:extLst>
        </xdr:cNvPr>
        <xdr:cNvSpPr txBox="1"/>
      </xdr:nvSpPr>
      <xdr:spPr>
        <a:xfrm>
          <a:off x="6656614" y="2111830"/>
          <a:ext cx="2381250"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accent2">
                  <a:lumMod val="50000"/>
                </a:schemeClr>
              </a:solidFill>
            </a:rPr>
            <a:t>Education wise Attrition</a:t>
          </a:r>
        </a:p>
        <a:p>
          <a:endParaRPr lang="en-US" sz="1300" b="1">
            <a:solidFill>
              <a:schemeClr val="accent2">
                <a:lumMod val="50000"/>
              </a:schemeClr>
            </a:solidFill>
          </a:endParaRPr>
        </a:p>
      </xdr:txBody>
    </xdr:sp>
    <xdr:clientData/>
  </xdr:twoCellAnchor>
  <xdr:twoCellAnchor>
    <xdr:from>
      <xdr:col>18</xdr:col>
      <xdr:colOff>244929</xdr:colOff>
      <xdr:row>12</xdr:row>
      <xdr:rowOff>136071</xdr:rowOff>
    </xdr:from>
    <xdr:to>
      <xdr:col>25</xdr:col>
      <xdr:colOff>1</xdr:colOff>
      <xdr:row>24</xdr:row>
      <xdr:rowOff>108856</xdr:rowOff>
    </xdr:to>
    <mc:AlternateContent xmlns:mc="http://schemas.openxmlformats.org/markup-compatibility/2006">
      <mc:Choice xmlns:cx1="http://schemas.microsoft.com/office/drawing/2015/9/8/chartex" Requires="cx1">
        <xdr:graphicFrame macro="">
          <xdr:nvGraphicFramePr>
            <xdr:cNvPr id="75" name="Chart 74">
              <a:extLst>
                <a:ext uri="{FF2B5EF4-FFF2-40B4-BE49-F238E27FC236}">
                  <a16:creationId xmlns:a16="http://schemas.microsoft.com/office/drawing/2014/main" id="{90FE822B-6529-49DD-B42E-ACCDDD8CC6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2001500" y="2422071"/>
              <a:ext cx="4327072" cy="225878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359228</xdr:colOff>
      <xdr:row>11</xdr:row>
      <xdr:rowOff>19051</xdr:rowOff>
    </xdr:from>
    <xdr:to>
      <xdr:col>22</xdr:col>
      <xdr:colOff>127906</xdr:colOff>
      <xdr:row>12</xdr:row>
      <xdr:rowOff>141515</xdr:rowOff>
    </xdr:to>
    <xdr:sp macro="" textlink="">
      <xdr:nvSpPr>
        <xdr:cNvPr id="77" name="TextBox 76">
          <a:extLst>
            <a:ext uri="{FF2B5EF4-FFF2-40B4-BE49-F238E27FC236}">
              <a16:creationId xmlns:a16="http://schemas.microsoft.com/office/drawing/2014/main" id="{0E49F57D-BC0F-45F9-B046-FAA2A9525513}"/>
            </a:ext>
          </a:extLst>
        </xdr:cNvPr>
        <xdr:cNvSpPr txBox="1"/>
      </xdr:nvSpPr>
      <xdr:spPr>
        <a:xfrm>
          <a:off x="12115799" y="2114551"/>
          <a:ext cx="2381250"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accent2">
                  <a:lumMod val="50000"/>
                </a:schemeClr>
              </a:solidFill>
            </a:rPr>
            <a:t>Attrition</a:t>
          </a:r>
          <a:r>
            <a:rPr lang="en-US" sz="1300" b="1" baseline="0">
              <a:solidFill>
                <a:schemeClr val="accent2">
                  <a:lumMod val="50000"/>
                </a:schemeClr>
              </a:solidFill>
            </a:rPr>
            <a:t> by Job Role</a:t>
          </a:r>
          <a:endParaRPr lang="en-US" sz="1300" b="1">
            <a:solidFill>
              <a:schemeClr val="accent2">
                <a:lumMod val="50000"/>
              </a:schemeClr>
            </a:solidFill>
          </a:endParaRPr>
        </a:p>
      </xdr:txBody>
    </xdr:sp>
    <xdr:clientData/>
  </xdr:twoCellAnchor>
  <xdr:twoCellAnchor>
    <xdr:from>
      <xdr:col>3</xdr:col>
      <xdr:colOff>231321</xdr:colOff>
      <xdr:row>28</xdr:row>
      <xdr:rowOff>54428</xdr:rowOff>
    </xdr:from>
    <xdr:to>
      <xdr:col>8</xdr:col>
      <xdr:colOff>557893</xdr:colOff>
      <xdr:row>37</xdr:row>
      <xdr:rowOff>176893</xdr:rowOff>
    </xdr:to>
    <xdr:graphicFrame macro="">
      <xdr:nvGraphicFramePr>
        <xdr:cNvPr id="78" name="Chart 77">
          <a:extLst>
            <a:ext uri="{FF2B5EF4-FFF2-40B4-BE49-F238E27FC236}">
              <a16:creationId xmlns:a16="http://schemas.microsoft.com/office/drawing/2014/main" id="{59A44FE2-BF66-4E59-AC96-3A4DD86FE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293912</xdr:colOff>
      <xdr:row>25</xdr:row>
      <xdr:rowOff>103414</xdr:rowOff>
    </xdr:from>
    <xdr:to>
      <xdr:col>7</xdr:col>
      <xdr:colOff>62591</xdr:colOff>
      <xdr:row>27</xdr:row>
      <xdr:rowOff>35378</xdr:rowOff>
    </xdr:to>
    <xdr:sp macro="" textlink="">
      <xdr:nvSpPr>
        <xdr:cNvPr id="80" name="TextBox 79">
          <a:extLst>
            <a:ext uri="{FF2B5EF4-FFF2-40B4-BE49-F238E27FC236}">
              <a16:creationId xmlns:a16="http://schemas.microsoft.com/office/drawing/2014/main" id="{EB0AEAA2-8253-4D07-82B8-1921159C6042}"/>
            </a:ext>
          </a:extLst>
        </xdr:cNvPr>
        <xdr:cNvSpPr txBox="1"/>
      </xdr:nvSpPr>
      <xdr:spPr>
        <a:xfrm>
          <a:off x="2253341" y="4865914"/>
          <a:ext cx="2381250"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accent2">
                  <a:lumMod val="50000"/>
                </a:schemeClr>
              </a:solidFill>
            </a:rPr>
            <a:t>Department wise Attrition</a:t>
          </a:r>
        </a:p>
      </xdr:txBody>
    </xdr:sp>
    <xdr:clientData/>
  </xdr:twoCellAnchor>
  <xdr:twoCellAnchor>
    <xdr:from>
      <xdr:col>10</xdr:col>
      <xdr:colOff>108856</xdr:colOff>
      <xdr:row>27</xdr:row>
      <xdr:rowOff>136072</xdr:rowOff>
    </xdr:from>
    <xdr:to>
      <xdr:col>15</xdr:col>
      <xdr:colOff>476249</xdr:colOff>
      <xdr:row>38</xdr:row>
      <xdr:rowOff>136072</xdr:rowOff>
    </xdr:to>
    <xdr:graphicFrame macro="">
      <xdr:nvGraphicFramePr>
        <xdr:cNvPr id="76" name="Chart 75">
          <a:extLst>
            <a:ext uri="{FF2B5EF4-FFF2-40B4-BE49-F238E27FC236}">
              <a16:creationId xmlns:a16="http://schemas.microsoft.com/office/drawing/2014/main" id="{63565625-71D4-4841-AC66-E5DDDB004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168728</xdr:colOff>
      <xdr:row>25</xdr:row>
      <xdr:rowOff>73480</xdr:rowOff>
    </xdr:from>
    <xdr:to>
      <xdr:col>13</xdr:col>
      <xdr:colOff>590550</xdr:colOff>
      <xdr:row>27</xdr:row>
      <xdr:rowOff>5444</xdr:rowOff>
    </xdr:to>
    <xdr:sp macro="" textlink="">
      <xdr:nvSpPr>
        <xdr:cNvPr id="79" name="TextBox 78">
          <a:extLst>
            <a:ext uri="{FF2B5EF4-FFF2-40B4-BE49-F238E27FC236}">
              <a16:creationId xmlns:a16="http://schemas.microsoft.com/office/drawing/2014/main" id="{6E8066E9-BE4E-4D8A-9975-061A66B12D3F}"/>
            </a:ext>
          </a:extLst>
        </xdr:cNvPr>
        <xdr:cNvSpPr txBox="1"/>
      </xdr:nvSpPr>
      <xdr:spPr>
        <a:xfrm>
          <a:off x="6700157" y="4835980"/>
          <a:ext cx="2381250"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accent2">
                  <a:lumMod val="50000"/>
                </a:schemeClr>
              </a:solidFill>
            </a:rPr>
            <a:t>Attrition by Age group</a:t>
          </a:r>
        </a:p>
      </xdr:txBody>
    </xdr:sp>
    <xdr:clientData/>
  </xdr:twoCellAnchor>
  <xdr:twoCellAnchor>
    <xdr:from>
      <xdr:col>16</xdr:col>
      <xdr:colOff>149678</xdr:colOff>
      <xdr:row>27</xdr:row>
      <xdr:rowOff>163286</xdr:rowOff>
    </xdr:from>
    <xdr:to>
      <xdr:col>20</xdr:col>
      <xdr:colOff>530679</xdr:colOff>
      <xdr:row>38</xdr:row>
      <xdr:rowOff>108856</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9527982C-BE79-4721-9834-E2EE85D94A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599964" y="5306786"/>
              <a:ext cx="2993572" cy="20410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185057</xdr:colOff>
      <xdr:row>25</xdr:row>
      <xdr:rowOff>62594</xdr:rowOff>
    </xdr:from>
    <xdr:to>
      <xdr:col>19</xdr:col>
      <xdr:colOff>606879</xdr:colOff>
      <xdr:row>26</xdr:row>
      <xdr:rowOff>185058</xdr:rowOff>
    </xdr:to>
    <xdr:sp macro="" textlink="">
      <xdr:nvSpPr>
        <xdr:cNvPr id="82" name="TextBox 81">
          <a:extLst>
            <a:ext uri="{FF2B5EF4-FFF2-40B4-BE49-F238E27FC236}">
              <a16:creationId xmlns:a16="http://schemas.microsoft.com/office/drawing/2014/main" id="{7D3823AE-0347-4865-A1E3-D959ACDF8136}"/>
            </a:ext>
          </a:extLst>
        </xdr:cNvPr>
        <xdr:cNvSpPr txBox="1"/>
      </xdr:nvSpPr>
      <xdr:spPr>
        <a:xfrm>
          <a:off x="10635343" y="4825094"/>
          <a:ext cx="2381250"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accent2">
                  <a:lumMod val="50000"/>
                </a:schemeClr>
              </a:solidFill>
            </a:rPr>
            <a:t>Attrition</a:t>
          </a:r>
          <a:r>
            <a:rPr lang="en-US" sz="1300" b="1" baseline="0">
              <a:solidFill>
                <a:schemeClr val="accent2">
                  <a:lumMod val="50000"/>
                </a:schemeClr>
              </a:solidFill>
            </a:rPr>
            <a:t> by Marital Status</a:t>
          </a:r>
        </a:p>
        <a:p>
          <a:endParaRPr lang="en-US" sz="1300" b="1">
            <a:solidFill>
              <a:schemeClr val="accent2">
                <a:lumMod val="50000"/>
              </a:schemeClr>
            </a:solidFill>
          </a:endParaRPr>
        </a:p>
      </xdr:txBody>
    </xdr:sp>
    <xdr:clientData/>
  </xdr:twoCellAnchor>
  <xdr:twoCellAnchor editAs="oneCell">
    <xdr:from>
      <xdr:col>23</xdr:col>
      <xdr:colOff>530677</xdr:colOff>
      <xdr:row>28</xdr:row>
      <xdr:rowOff>54427</xdr:rowOff>
    </xdr:from>
    <xdr:to>
      <xdr:col>25</xdr:col>
      <xdr:colOff>244927</xdr:colOff>
      <xdr:row>34</xdr:row>
      <xdr:rowOff>163286</xdr:rowOff>
    </xdr:to>
    <mc:AlternateContent xmlns:mc="http://schemas.openxmlformats.org/markup-compatibility/2006">
      <mc:Choice xmlns:a14="http://schemas.microsoft.com/office/drawing/2010/main" Requires="a14">
        <xdr:graphicFrame macro="">
          <xdr:nvGraphicFramePr>
            <xdr:cNvPr id="83" name="Department 1">
              <a:extLst>
                <a:ext uri="{FF2B5EF4-FFF2-40B4-BE49-F238E27FC236}">
                  <a16:creationId xmlns:a16="http://schemas.microsoft.com/office/drawing/2014/main" id="{671B89A5-3831-47ED-9DBC-867DA77F5E4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552963" y="5388427"/>
              <a:ext cx="1020535" cy="1251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54427</xdr:colOff>
      <xdr:row>27</xdr:row>
      <xdr:rowOff>176891</xdr:rowOff>
    </xdr:from>
    <xdr:to>
      <xdr:col>23</xdr:col>
      <xdr:colOff>435428</xdr:colOff>
      <xdr:row>38</xdr:row>
      <xdr:rowOff>136070</xdr:rowOff>
    </xdr:to>
    <mc:AlternateContent xmlns:mc="http://schemas.openxmlformats.org/markup-compatibility/2006">
      <mc:Choice xmlns:a14="http://schemas.microsoft.com/office/drawing/2010/main" Requires="a14">
        <xdr:graphicFrame macro="">
          <xdr:nvGraphicFramePr>
            <xdr:cNvPr id="86" name="Education Field 2">
              <a:extLst>
                <a:ext uri="{FF2B5EF4-FFF2-40B4-BE49-F238E27FC236}">
                  <a16:creationId xmlns:a16="http://schemas.microsoft.com/office/drawing/2014/main" id="{921D67F0-5430-4E03-8E16-35FED200122E}"/>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3770427" y="5320391"/>
              <a:ext cx="1687287" cy="2054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95250</xdr:colOff>
      <xdr:row>26</xdr:row>
      <xdr:rowOff>176893</xdr:rowOff>
    </xdr:from>
    <xdr:to>
      <xdr:col>23</xdr:col>
      <xdr:colOff>163286</xdr:colOff>
      <xdr:row>28</xdr:row>
      <xdr:rowOff>81643</xdr:rowOff>
    </xdr:to>
    <xdr:sp macro="" textlink="">
      <xdr:nvSpPr>
        <xdr:cNvPr id="9" name="TextBox 8">
          <a:extLst>
            <a:ext uri="{FF2B5EF4-FFF2-40B4-BE49-F238E27FC236}">
              <a16:creationId xmlns:a16="http://schemas.microsoft.com/office/drawing/2014/main" id="{13189B05-35C4-449C-BED1-9DCEA7D534E2}"/>
            </a:ext>
          </a:extLst>
        </xdr:cNvPr>
        <xdr:cNvSpPr txBox="1"/>
      </xdr:nvSpPr>
      <xdr:spPr>
        <a:xfrm>
          <a:off x="13811250" y="5129893"/>
          <a:ext cx="137432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5">
                  <a:lumMod val="75000"/>
                </a:schemeClr>
              </a:solidFill>
            </a:rPr>
            <a:t>Education Field</a:t>
          </a:r>
        </a:p>
      </xdr:txBody>
    </xdr:sp>
    <xdr:clientData/>
  </xdr:twoCellAnchor>
  <xdr:twoCellAnchor>
    <xdr:from>
      <xdr:col>23</xdr:col>
      <xdr:colOff>383721</xdr:colOff>
      <xdr:row>26</xdr:row>
      <xdr:rowOff>166007</xdr:rowOff>
    </xdr:from>
    <xdr:to>
      <xdr:col>25</xdr:col>
      <xdr:colOff>451758</xdr:colOff>
      <xdr:row>28</xdr:row>
      <xdr:rowOff>70757</xdr:rowOff>
    </xdr:to>
    <xdr:sp macro="" textlink="">
      <xdr:nvSpPr>
        <xdr:cNvPr id="87" name="TextBox 86">
          <a:extLst>
            <a:ext uri="{FF2B5EF4-FFF2-40B4-BE49-F238E27FC236}">
              <a16:creationId xmlns:a16="http://schemas.microsoft.com/office/drawing/2014/main" id="{2CEAA986-481F-47E7-B769-86D52A3DE8C1}"/>
            </a:ext>
          </a:extLst>
        </xdr:cNvPr>
        <xdr:cNvSpPr txBox="1"/>
      </xdr:nvSpPr>
      <xdr:spPr>
        <a:xfrm>
          <a:off x="15406007" y="5119007"/>
          <a:ext cx="137432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5">
                  <a:lumMod val="75000"/>
                </a:schemeClr>
              </a:solidFill>
            </a:rPr>
            <a:t>Department</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3350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3822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7632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DC" refreshedDate="45933.971916319446" createdVersion="6" refreshedVersion="6" minRefreshableVersion="3" recordCount="1470" xr:uid="{92BB4093-6841-4D75-9193-75AD2BE4DC92}">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67951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1BB8E0-9D0D-417E-A2EE-36FA188CC49F}" name="KP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F1DF0B-208B-43A3-B9EF-D95610354F95}" name="Rating"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283D3E-EA09-433B-B12E-8EE1094349A6}" name="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56FCA7-B092-4948-8284-CE0827842C4D}" name="Education by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3"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B25F56-E36D-4BB6-8337-455D8572E173}" name="Attrition by Job"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DF92BE-6105-407C-BFCB-33D218BA6E64}" name="Dept wise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9A50F7-3147-4CE7-BD04-E1E45343D5D3}" name="Attrition by Age group"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7BAE2D-D05A-4C9C-90AE-0576422A0265}" name="Marital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70366D6E-910A-420C-A1E3-3A2F70948684}" sourceName="Education Field">
  <pivotTables>
    <pivotTable tabId="9" name="Gender"/>
  </pivotTables>
  <data>
    <tabular pivotCacheId="1467951716">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4FF4953D-FF69-4E08-9E30-B1D4D4B37189}" sourceName="Gender">
  <pivotTables>
    <pivotTable tabId="9" name="Gender"/>
    <pivotTable tabId="13" name="Attrition by Age group"/>
    <pivotTable tabId="11" name="Attrition by Job"/>
    <pivotTable tabId="12" name="Dept wise Attrition"/>
    <pivotTable tabId="10" name="Education by Attrition"/>
    <pivotTable tabId="7" name="KPI"/>
    <pivotTable tabId="14" name="Marital Status"/>
    <pivotTable tabId="8" name="Rating"/>
  </pivotTables>
  <data>
    <tabular pivotCacheId="146795171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F09A6E8-7556-4E97-A4BC-360DB153B8FA}" sourceName="Department">
  <pivotTables>
    <pivotTable tabId="13" name="Attrition by Age group"/>
    <pivotTable tabId="11" name="Attrition by Job"/>
    <pivotTable tabId="12" name="Dept wise Attrition"/>
    <pivotTable tabId="10" name="Education by Attrition"/>
    <pivotTable tabId="9" name="Gender"/>
    <pivotTable tabId="7" name="KPI"/>
    <pivotTable tabId="14" name="Marital Status"/>
    <pivotTable tabId="8" name="Rating"/>
  </pivotTables>
  <data>
    <tabular pivotCacheId="146795171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37882299-7DD1-4426-8582-03EFFA0A00F8}" sourceName="Education Field">
  <pivotTables>
    <pivotTable tabId="13" name="Attrition by Age group"/>
    <pivotTable tabId="11" name="Attrition by Job"/>
    <pivotTable tabId="12" name="Dept wise Attrition"/>
    <pivotTable tabId="10" name="Education by Attrition"/>
    <pivotTable tabId="7" name="KPI"/>
    <pivotTable tabId="14" name="Marital Status"/>
    <pivotTable tabId="8" name="Rating"/>
  </pivotTables>
  <data>
    <tabular pivotCacheId="1467951716">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41D482C-0D39-456C-812F-D489D8D834BA}" cache="Slicer_Gender2"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CF9415F-AB41-48BB-B22D-B3C1FD85C399}" cache="Slicer_Gender2" caption="Gender"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BEE5B60F-60FE-4BD7-98E9-614E73A005A1}" cache="Slicer_Education_Field" caption="Education Field" rowHeight="257175"/>
  <slicer name="Gender 2" xr10:uid="{2FF9402F-4437-4DDA-AB69-2FAED733FCF6}" cache="Slicer_Gender2" caption="Gender"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20FCF47-BC7B-4BF2-AED0-44FF7A3A4060}" cache="Slicer_Department" caption="Department" rowHeight="257175"/>
  <slicer name="Education Field 1" xr10:uid="{5976A056-E633-416B-9D4B-392325DC9893}" cache="Slicer_Education_Field1" caption="Education Field"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9B624BE2-BD0D-4B8B-BC24-8DE1CCCEE196}" cache="Slicer_Gender2" caption="Gender" columnCount="2" style="Slicer" rowHeight="257175"/>
  <slicer name="Department 1" xr10:uid="{2516786B-44EF-47E0-8FE7-5BAECCE8703D}" cache="Slicer_Department" style="Slicer" rowHeight="257175"/>
  <slicer name="Education Field 2" xr10:uid="{28C830DD-FC2D-427A-8B94-95F81760505C}" cache="Slicer_Education_Field1" style="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5AC33-2905-4BB1-B79E-147DD443AC0D}">
  <dimension ref="A3:E8"/>
  <sheetViews>
    <sheetView workbookViewId="0">
      <selection activeCell="E8" sqref="E8"/>
    </sheetView>
  </sheetViews>
  <sheetFormatPr defaultRowHeight="15.75" x14ac:dyDescent="0.25"/>
  <cols>
    <col min="1" max="1" width="23.375" bestFit="1" customWidth="1"/>
    <col min="2" max="2" width="21.75" bestFit="1" customWidth="1"/>
    <col min="3" max="3" width="13.375" bestFit="1" customWidth="1"/>
    <col min="4" max="4" width="14.375" bestFit="1" customWidth="1"/>
    <col min="5" max="5" width="11.75" bestFit="1" customWidth="1"/>
  </cols>
  <sheetData>
    <row r="3" spans="1:5" x14ac:dyDescent="0.25">
      <c r="A3" s="2" t="s">
        <v>1554</v>
      </c>
      <c r="B3" s="3" t="s">
        <v>1555</v>
      </c>
      <c r="C3" s="6" t="s">
        <v>1556</v>
      </c>
    </row>
    <row r="4" spans="1:5" x14ac:dyDescent="0.25">
      <c r="A4" s="4">
        <v>1470</v>
      </c>
      <c r="B4" s="5">
        <v>237</v>
      </c>
      <c r="C4" s="7">
        <v>36.923809523809524</v>
      </c>
    </row>
    <row r="7" spans="1:5" x14ac:dyDescent="0.25">
      <c r="A7" s="8" t="s">
        <v>1557</v>
      </c>
      <c r="B7" s="8" t="s">
        <v>1558</v>
      </c>
      <c r="C7" s="8" t="s">
        <v>1559</v>
      </c>
      <c r="D7" s="8" t="s">
        <v>1560</v>
      </c>
      <c r="E7" s="8" t="s">
        <v>1561</v>
      </c>
    </row>
    <row r="8" spans="1:5" x14ac:dyDescent="0.25">
      <c r="A8">
        <f>GETPIVOTDATA("Count of Employee Number",$A$3)</f>
        <v>1470</v>
      </c>
      <c r="B8">
        <f>GETPIVOTDATA("Sum of CF_attrition count",$A$3)</f>
        <v>237</v>
      </c>
      <c r="C8" s="9">
        <f>GETPIVOTDATA("Average of Age",$A$3)</f>
        <v>36.923809523809524</v>
      </c>
      <c r="D8">
        <f>A8 - B8</f>
        <v>1233</v>
      </c>
      <c r="E8" s="10">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0B35C-9C3F-4B3F-9DE8-A166A676833F}">
  <dimension ref="A3:C7"/>
  <sheetViews>
    <sheetView workbookViewId="0">
      <selection activeCell="L15" sqref="L15"/>
    </sheetView>
  </sheetViews>
  <sheetFormatPr defaultRowHeight="15.75" x14ac:dyDescent="0.25"/>
  <cols>
    <col min="1" max="1" width="23.125" bestFit="1" customWidth="1"/>
  </cols>
  <sheetData>
    <row r="3" spans="1:3" x14ac:dyDescent="0.25">
      <c r="A3" s="12" t="s">
        <v>1562</v>
      </c>
    </row>
    <row r="4" spans="1:3" x14ac:dyDescent="0.25">
      <c r="A4" s="13">
        <v>2.6265306122448981</v>
      </c>
    </row>
    <row r="6" spans="1:3" x14ac:dyDescent="0.25">
      <c r="A6" s="8" t="s">
        <v>1563</v>
      </c>
      <c r="B6" s="14">
        <f>GETPIVOTDATA("Job Satisfaction",$A$3)</f>
        <v>2.6265306122448981</v>
      </c>
      <c r="C6">
        <f>B6/4</f>
        <v>0.65663265306122454</v>
      </c>
    </row>
    <row r="7" spans="1:3" x14ac:dyDescent="0.25">
      <c r="A7" s="8" t="s">
        <v>1564</v>
      </c>
      <c r="B7" s="14">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0D5A8-5317-45BA-B9CD-A32B4301DBC3}">
  <dimension ref="A3:C10"/>
  <sheetViews>
    <sheetView workbookViewId="0">
      <selection activeCell="B9" sqref="B9"/>
    </sheetView>
  </sheetViews>
  <sheetFormatPr defaultRowHeight="15.75" x14ac:dyDescent="0.25"/>
  <cols>
    <col min="1" max="1" width="12.125" bestFit="1" customWidth="1"/>
    <col min="2" max="2" width="21.75" bestFit="1" customWidth="1"/>
  </cols>
  <sheetData>
    <row r="3" spans="1:3" x14ac:dyDescent="0.25">
      <c r="A3" s="15" t="s">
        <v>1565</v>
      </c>
      <c r="B3" s="12" t="s">
        <v>1567</v>
      </c>
    </row>
    <row r="4" spans="1:3" x14ac:dyDescent="0.25">
      <c r="A4" s="16" t="s">
        <v>51</v>
      </c>
      <c r="B4" s="17">
        <v>588</v>
      </c>
    </row>
    <row r="5" spans="1:3" x14ac:dyDescent="0.25">
      <c r="A5" s="18" t="s">
        <v>62</v>
      </c>
      <c r="B5" s="19">
        <v>882</v>
      </c>
    </row>
    <row r="6" spans="1:3" x14ac:dyDescent="0.25">
      <c r="A6" s="20" t="s">
        <v>1566</v>
      </c>
      <c r="B6" s="21">
        <v>1470</v>
      </c>
    </row>
    <row r="9" spans="1:3" ht="21" x14ac:dyDescent="0.35">
      <c r="A9" s="22" t="s">
        <v>51</v>
      </c>
      <c r="B9" s="24">
        <f>IFERROR(GETPIVOTDATA("Employee Count",$A$3,"Gender","Female"),0)</f>
        <v>588</v>
      </c>
      <c r="C9" s="23">
        <f>IFERROR(B9 / SUM(B$9:B$10), 0)</f>
        <v>0.4</v>
      </c>
    </row>
    <row r="10" spans="1:3" x14ac:dyDescent="0.25">
      <c r="A10" s="22" t="s">
        <v>62</v>
      </c>
      <c r="B10">
        <f>IFERROR(GETPIVOTDATA("Employee Count",$A$3,"Gender","Male"),0)</f>
        <v>882</v>
      </c>
      <c r="C10" s="23">
        <f>IFERROR(B10 / SUM(B$9:B$10), 0)</f>
        <v>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6FE0D-D7A4-4453-9EF8-E4847F5E3C6B}">
  <dimension ref="A3:B9"/>
  <sheetViews>
    <sheetView workbookViewId="0">
      <selection activeCell="B15" sqref="B15"/>
    </sheetView>
  </sheetViews>
  <sheetFormatPr defaultRowHeight="15.75" x14ac:dyDescent="0.25"/>
  <cols>
    <col min="1" max="1" width="16.125" bestFit="1" customWidth="1"/>
    <col min="2" max="2" width="21.75" bestFit="1" customWidth="1"/>
  </cols>
  <sheetData>
    <row r="3" spans="1:2" x14ac:dyDescent="0.25">
      <c r="A3" s="15" t="s">
        <v>1565</v>
      </c>
      <c r="B3" s="12" t="s">
        <v>1555</v>
      </c>
    </row>
    <row r="4" spans="1:2" x14ac:dyDescent="0.25">
      <c r="A4" s="16" t="s">
        <v>134</v>
      </c>
      <c r="B4" s="17">
        <v>5</v>
      </c>
    </row>
    <row r="5" spans="1:2" x14ac:dyDescent="0.25">
      <c r="A5" s="18" t="s">
        <v>65</v>
      </c>
      <c r="B5" s="19">
        <v>31</v>
      </c>
    </row>
    <row r="6" spans="1:2" x14ac:dyDescent="0.25">
      <c r="A6" s="18" t="s">
        <v>55</v>
      </c>
      <c r="B6" s="19">
        <v>44</v>
      </c>
    </row>
    <row r="7" spans="1:2" x14ac:dyDescent="0.25">
      <c r="A7" s="18" t="s">
        <v>71</v>
      </c>
      <c r="B7" s="19">
        <v>58</v>
      </c>
    </row>
    <row r="8" spans="1:2" x14ac:dyDescent="0.25">
      <c r="A8" s="18" t="s">
        <v>77</v>
      </c>
      <c r="B8" s="19">
        <v>99</v>
      </c>
    </row>
    <row r="9" spans="1:2" x14ac:dyDescent="0.25">
      <c r="A9" s="20" t="s">
        <v>1566</v>
      </c>
      <c r="B9" s="21">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18105-F6E1-44A2-9B99-2C31F863B5A3}">
  <dimension ref="A3:E13"/>
  <sheetViews>
    <sheetView workbookViewId="0">
      <selection activeCell="D4" sqref="D4:E12"/>
    </sheetView>
  </sheetViews>
  <sheetFormatPr defaultRowHeight="15.75" x14ac:dyDescent="0.25"/>
  <cols>
    <col min="1" max="1" width="22.875" bestFit="1" customWidth="1"/>
    <col min="2" max="2" width="21.75" bestFit="1" customWidth="1"/>
    <col min="4" max="4" width="22.875" bestFit="1" customWidth="1"/>
  </cols>
  <sheetData>
    <row r="3" spans="1:5" x14ac:dyDescent="0.25">
      <c r="A3" s="15" t="s">
        <v>1565</v>
      </c>
      <c r="B3" s="12" t="s">
        <v>1555</v>
      </c>
      <c r="D3" s="8" t="s">
        <v>9</v>
      </c>
      <c r="E3" s="25" t="s">
        <v>0</v>
      </c>
    </row>
    <row r="4" spans="1:5" x14ac:dyDescent="0.25">
      <c r="A4" s="16" t="s">
        <v>83</v>
      </c>
      <c r="B4" s="17">
        <v>9</v>
      </c>
      <c r="D4" t="str">
        <f>A4</f>
        <v>Healthcare Representative</v>
      </c>
      <c r="E4">
        <f>GETPIVOTDATA("CF_attrition count",$A$3,"Job Role",A4)</f>
        <v>9</v>
      </c>
    </row>
    <row r="5" spans="1:5" x14ac:dyDescent="0.25">
      <c r="A5" s="18" t="s">
        <v>163</v>
      </c>
      <c r="B5" s="19">
        <v>12</v>
      </c>
      <c r="D5" t="str">
        <f t="shared" ref="D5:D12" si="0">A5</f>
        <v>Human Resources</v>
      </c>
      <c r="E5">
        <f t="shared" ref="E5:E12" si="1">GETPIVOTDATA("CF_attrition count",$A$3,"Job Role",A5)</f>
        <v>12</v>
      </c>
    </row>
    <row r="6" spans="1:5" x14ac:dyDescent="0.25">
      <c r="A6" s="18" t="s">
        <v>68</v>
      </c>
      <c r="B6" s="19">
        <v>62</v>
      </c>
      <c r="D6" t="str">
        <f t="shared" si="0"/>
        <v>Laboratory Technician</v>
      </c>
      <c r="E6">
        <f t="shared" si="1"/>
        <v>62</v>
      </c>
    </row>
    <row r="7" spans="1:5" x14ac:dyDescent="0.25">
      <c r="A7" s="18" t="s">
        <v>95</v>
      </c>
      <c r="B7" s="19">
        <v>5</v>
      </c>
      <c r="D7" t="str">
        <f t="shared" si="0"/>
        <v>Manager</v>
      </c>
      <c r="E7">
        <f t="shared" si="1"/>
        <v>5</v>
      </c>
    </row>
    <row r="8" spans="1:5" x14ac:dyDescent="0.25">
      <c r="A8" s="18" t="s">
        <v>81</v>
      </c>
      <c r="B8" s="19">
        <v>10</v>
      </c>
      <c r="D8" t="str">
        <f t="shared" si="0"/>
        <v>Manufacturing Director</v>
      </c>
      <c r="E8">
        <f t="shared" si="1"/>
        <v>10</v>
      </c>
    </row>
    <row r="9" spans="1:5" x14ac:dyDescent="0.25">
      <c r="A9" s="18" t="s">
        <v>101</v>
      </c>
      <c r="B9" s="19">
        <v>2</v>
      </c>
      <c r="D9" t="str">
        <f t="shared" si="0"/>
        <v>Research Director</v>
      </c>
      <c r="E9">
        <f t="shared" si="1"/>
        <v>2</v>
      </c>
    </row>
    <row r="10" spans="1:5" x14ac:dyDescent="0.25">
      <c r="A10" s="18" t="s">
        <v>63</v>
      </c>
      <c r="B10" s="19">
        <v>47</v>
      </c>
      <c r="D10" t="str">
        <f t="shared" si="0"/>
        <v>Research Scientist</v>
      </c>
      <c r="E10">
        <f t="shared" si="1"/>
        <v>47</v>
      </c>
    </row>
    <row r="11" spans="1:5" x14ac:dyDescent="0.25">
      <c r="A11" s="18" t="s">
        <v>52</v>
      </c>
      <c r="B11" s="19">
        <v>57</v>
      </c>
      <c r="D11" t="str">
        <f t="shared" si="0"/>
        <v>Sales Executive</v>
      </c>
      <c r="E11">
        <f t="shared" si="1"/>
        <v>57</v>
      </c>
    </row>
    <row r="12" spans="1:5" x14ac:dyDescent="0.25">
      <c r="A12" s="18" t="s">
        <v>99</v>
      </c>
      <c r="B12" s="19">
        <v>33</v>
      </c>
      <c r="D12" t="str">
        <f t="shared" si="0"/>
        <v>Sales Representative</v>
      </c>
      <c r="E12">
        <f t="shared" si="1"/>
        <v>33</v>
      </c>
    </row>
    <row r="13" spans="1:5" x14ac:dyDescent="0.25">
      <c r="A13" s="20" t="s">
        <v>1566</v>
      </c>
      <c r="B13" s="2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25F7E-F1B9-4B64-8DA2-E2A52D5DC2BB}">
  <dimension ref="A3:B7"/>
  <sheetViews>
    <sheetView workbookViewId="0">
      <selection activeCell="J11" sqref="J11"/>
    </sheetView>
  </sheetViews>
  <sheetFormatPr defaultRowHeight="15.75" x14ac:dyDescent="0.25"/>
  <cols>
    <col min="1" max="1" width="12.125" bestFit="1" customWidth="1"/>
    <col min="2" max="2" width="21.75" bestFit="1" customWidth="1"/>
  </cols>
  <sheetData>
    <row r="3" spans="1:2" x14ac:dyDescent="0.25">
      <c r="A3" s="15" t="s">
        <v>1565</v>
      </c>
      <c r="B3" s="12" t="s">
        <v>1555</v>
      </c>
    </row>
    <row r="4" spans="1:2" x14ac:dyDescent="0.25">
      <c r="A4" s="16" t="s">
        <v>161</v>
      </c>
      <c r="B4" s="26">
        <v>5.0632911392405063E-2</v>
      </c>
    </row>
    <row r="5" spans="1:2" x14ac:dyDescent="0.25">
      <c r="A5" s="18" t="s">
        <v>60</v>
      </c>
      <c r="B5" s="27">
        <v>0.56118143459915615</v>
      </c>
    </row>
    <row r="6" spans="1:2" x14ac:dyDescent="0.25">
      <c r="A6" s="18" t="s">
        <v>48</v>
      </c>
      <c r="B6" s="27">
        <v>0.3881856540084388</v>
      </c>
    </row>
    <row r="7" spans="1:2" x14ac:dyDescent="0.25">
      <c r="A7" s="20" t="s">
        <v>1566</v>
      </c>
      <c r="B7" s="2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861FD-7D4C-4003-9207-AF42AF77DE1F}">
  <dimension ref="A3:B9"/>
  <sheetViews>
    <sheetView workbookViewId="0">
      <selection activeCell="B6" sqref="B6"/>
    </sheetView>
  </sheetViews>
  <sheetFormatPr defaultRowHeight="15.75" x14ac:dyDescent="0.25"/>
  <cols>
    <col min="1" max="1" width="12.125" bestFit="1" customWidth="1"/>
    <col min="2" max="2" width="21.75" bestFit="1" customWidth="1"/>
  </cols>
  <sheetData>
    <row r="3" spans="1:2" x14ac:dyDescent="0.25">
      <c r="A3" s="15" t="s">
        <v>1565</v>
      </c>
      <c r="B3" s="12" t="s">
        <v>1555</v>
      </c>
    </row>
    <row r="4" spans="1:2" x14ac:dyDescent="0.25">
      <c r="A4" s="16" t="s">
        <v>69</v>
      </c>
      <c r="B4" s="17">
        <v>112</v>
      </c>
    </row>
    <row r="5" spans="1:2" x14ac:dyDescent="0.25">
      <c r="A5" s="18" t="s">
        <v>46</v>
      </c>
      <c r="B5" s="19">
        <v>51</v>
      </c>
    </row>
    <row r="6" spans="1:2" x14ac:dyDescent="0.25">
      <c r="A6" s="18" t="s">
        <v>92</v>
      </c>
      <c r="B6" s="19">
        <v>38</v>
      </c>
    </row>
    <row r="7" spans="1:2" x14ac:dyDescent="0.25">
      <c r="A7" s="18" t="s">
        <v>58</v>
      </c>
      <c r="B7" s="19">
        <v>25</v>
      </c>
    </row>
    <row r="8" spans="1:2" x14ac:dyDescent="0.25">
      <c r="A8" s="18" t="s">
        <v>75</v>
      </c>
      <c r="B8" s="19">
        <v>11</v>
      </c>
    </row>
    <row r="9" spans="1:2" x14ac:dyDescent="0.25">
      <c r="A9" s="20" t="s">
        <v>1566</v>
      </c>
      <c r="B9" s="2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EC470-739F-496E-8F40-CC774C5F4551}">
  <dimension ref="A3:E7"/>
  <sheetViews>
    <sheetView workbookViewId="0">
      <selection activeCell="C11" sqref="C11"/>
    </sheetView>
  </sheetViews>
  <sheetFormatPr defaultRowHeight="15.75" x14ac:dyDescent="0.25"/>
  <cols>
    <col min="1" max="1" width="12.125" bestFit="1" customWidth="1"/>
    <col min="2" max="2" width="15" bestFit="1" customWidth="1"/>
    <col min="4" max="4" width="12.25" bestFit="1" customWidth="1"/>
  </cols>
  <sheetData>
    <row r="3" spans="1:5" x14ac:dyDescent="0.25">
      <c r="A3" s="15" t="s">
        <v>1565</v>
      </c>
      <c r="B3" s="12" t="s">
        <v>1568</v>
      </c>
      <c r="D3" s="8" t="s">
        <v>10</v>
      </c>
      <c r="E3" s="25" t="s">
        <v>0</v>
      </c>
    </row>
    <row r="4" spans="1:5" x14ac:dyDescent="0.25">
      <c r="A4" s="16" t="s">
        <v>79</v>
      </c>
      <c r="B4" s="17">
        <v>327</v>
      </c>
      <c r="D4" t="str">
        <f>A4</f>
        <v>Divorced</v>
      </c>
      <c r="E4">
        <f>GETPIVOTDATA("Attrition",$A$3,"Marital Status",A4)</f>
        <v>327</v>
      </c>
    </row>
    <row r="5" spans="1:5" x14ac:dyDescent="0.25">
      <c r="A5" s="18" t="s">
        <v>53</v>
      </c>
      <c r="B5" s="19">
        <v>470</v>
      </c>
      <c r="D5" t="str">
        <f>A5</f>
        <v>Single</v>
      </c>
      <c r="E5">
        <f>GETPIVOTDATA("Attrition",$A$3,"Marital Status",A5)</f>
        <v>470</v>
      </c>
    </row>
    <row r="6" spans="1:5" x14ac:dyDescent="0.25">
      <c r="A6" s="18" t="s">
        <v>64</v>
      </c>
      <c r="B6" s="19">
        <v>673</v>
      </c>
      <c r="D6" t="str">
        <f>A6</f>
        <v>Married</v>
      </c>
      <c r="E6">
        <f>GETPIVOTDATA("Attrition",$A$3,"Marital Status",A6)</f>
        <v>673</v>
      </c>
    </row>
    <row r="7" spans="1:5" x14ac:dyDescent="0.25">
      <c r="A7" s="20" t="s">
        <v>1566</v>
      </c>
      <c r="B7" s="21">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F7" sqref="F7"/>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abSelected="1" topLeftCell="C11" zoomScale="70" zoomScaleNormal="70" workbookViewId="0">
      <selection activeCell="AA27" sqref="AA27"/>
    </sheetView>
  </sheetViews>
  <sheetFormatPr defaultColWidth="11.25" defaultRowHeight="15" customHeight="1" x14ac:dyDescent="0.25"/>
  <cols>
    <col min="1" max="26" width="8.5" style="11" customWidth="1"/>
    <col min="27" max="16384" width="11.25" style="11"/>
  </cols>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KPI</vt:lpstr>
      <vt:lpstr>Rating</vt:lpstr>
      <vt:lpstr>Gender</vt:lpstr>
      <vt:lpstr>Education by Attrition</vt:lpstr>
      <vt:lpstr>Attrition by Job</vt:lpstr>
      <vt:lpstr>Dept wise Attrition</vt:lpstr>
      <vt:lpstr>Attrition by Age group</vt:lpstr>
      <vt:lpstr>Marital Status</vt:lpstr>
      <vt:lpstr>Data</vt:lpstr>
      <vt:lpstr>Dashboard</vt:lpstr>
      <vt:lpstr>Images</vt:lpstr>
      <vt:lpstr>Background 1</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DDC</cp:lastModifiedBy>
  <dcterms:created xsi:type="dcterms:W3CDTF">2022-12-29T16:02:46Z</dcterms:created>
  <dcterms:modified xsi:type="dcterms:W3CDTF">2025-10-12T05:36:22Z</dcterms:modified>
</cp:coreProperties>
</file>